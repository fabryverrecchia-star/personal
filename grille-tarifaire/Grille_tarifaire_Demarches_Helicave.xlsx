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Paramètres" sheetId="1" state="visible" r:id="rId1"/>
    <sheet name="Grille tarifaire" sheetId="2" state="visible" r:id="rId2"/>
    <sheet name="Récap par catégorie" sheetId="3" state="visible" r:id="rId3"/>
  </sheets>
  <definedNames>
    <definedName name="_xlnm._FilterDatabase" localSheetId="1" hidden="1">'Grille tarifaire'!$A$4:$M$58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;-#,##0.00 €;&quot;-&quot;"/>
    <numFmt numFmtId="165" formatCode="0.##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5B2333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i val="1"/>
      <color rgb="007F7F7F"/>
    </font>
    <font>
      <name val="Arial"/>
      <b val="1"/>
      <color rgb="005B2333"/>
    </font>
    <font>
      <name val="Arial"/>
      <color rgb="00008000"/>
    </font>
    <font>
      <name val="Arial"/>
      <color theme="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5B2333"/>
      </patternFill>
    </fill>
    <fill>
      <patternFill patternType="solid">
        <fgColor rgb="00EFE3D3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2" borderId="1" pivotButton="0" quotePrefix="0" xfId="0"/>
    <xf numFmtId="9" fontId="5" fillId="2" borderId="1" pivotButton="0" quotePrefix="0" xfId="0"/>
    <xf numFmtId="0" fontId="6" fillId="3" borderId="1" pivotButton="0" quotePrefix="0" xfId="0"/>
    <xf numFmtId="0" fontId="4" fillId="0" borderId="1" pivotButton="0" quotePrefix="0" xfId="0"/>
    <xf numFmtId="164" fontId="5" fillId="2" borderId="1" pivotButton="0" quotePrefix="0" xfId="0"/>
    <xf numFmtId="164" fontId="4" fillId="0" borderId="1" pivotButton="0" quotePrefix="0" xfId="0"/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10" fillId="4" borderId="1" pivotButton="0" quotePrefix="0" xfId="0"/>
    <xf numFmtId="0" fontId="10" fillId="0" borderId="1" pivotButton="0" quotePrefix="0" xfId="0"/>
    <xf numFmtId="165" fontId="5" fillId="0" borderId="1" pivotButton="0" quotePrefix="0" xfId="0"/>
    <xf numFmtId="2" fontId="10" fillId="0" borderId="1" pivotButton="0" quotePrefix="0" xfId="0"/>
    <xf numFmtId="164" fontId="9" fillId="0" borderId="1" pivotButton="0" quotePrefix="0" xfId="0"/>
    <xf numFmtId="164" fontId="5" fillId="0" borderId="1" pivotButton="0" quotePrefix="0" xfId="0"/>
    <xf numFmtId="164" fontId="10" fillId="0" borderId="1" pivotButton="0" quotePrefix="0" xfId="0"/>
    <xf numFmtId="0" fontId="5" fillId="5" borderId="1" pivotButton="0" quotePrefix="0" xfId="0"/>
    <xf numFmtId="164" fontId="3" fillId="4" borderId="1" pivotButton="0" quotePrefix="0" xfId="0"/>
    <xf numFmtId="166" fontId="4" fillId="0" borderId="1" pivotButton="0" quotePrefix="0" xfId="0"/>
    <xf numFmtId="166" fontId="9" fillId="0" borderId="1" pivotButton="0" quotePrefix="0" xfId="0"/>
    <xf numFmtId="166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B6" authorId="0" shapeId="0">
      <text>
        <t>TVA 21 % (taux normal belge). À adapter si besoin.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</cols>
  <sheetData>
    <row r="1">
      <c r="A1" s="1" t="inlineStr">
        <is>
          <t>Paramètres — Démarches SRL (concessionnaire Helicave)</t>
        </is>
      </c>
    </row>
    <row r="2">
      <c r="A2" s="2" t="inlineStr">
        <is>
          <t>Cellules en bleu sur fond jaune = à modifier. Tous les prix de la grille se recalculent automatiquement.</t>
        </is>
      </c>
    </row>
    <row r="4">
      <c r="A4" s="3" t="inlineStr">
        <is>
          <t>Réglages généraux</t>
        </is>
      </c>
    </row>
    <row r="5">
      <c r="A5" s="4" t="inlineStr">
        <is>
          <t>Heures par jour de travail</t>
        </is>
      </c>
      <c r="B5" s="5" t="n">
        <v>8</v>
      </c>
    </row>
    <row r="6">
      <c r="A6" s="4" t="inlineStr">
        <is>
          <t>TVA</t>
        </is>
      </c>
      <c r="B6" s="6" t="n">
        <v>0.21</v>
      </c>
    </row>
    <row r="7">
      <c r="A7" s="4" t="inlineStr">
        <is>
          <t>Remise sur devis</t>
        </is>
      </c>
      <c r="B7" s="6" t="n">
        <v>0</v>
      </c>
    </row>
    <row r="9">
      <c r="A9" s="3" t="inlineStr">
        <is>
          <t>Taux horaires par profil (HT)</t>
        </is>
      </c>
    </row>
    <row r="10">
      <c r="A10" s="7" t="inlineStr">
        <is>
          <t>Profil</t>
        </is>
      </c>
      <c r="B10" s="7" t="inlineStr">
        <is>
          <t>Taux horaire HT</t>
        </is>
      </c>
      <c r="C10" s="7" t="inlineStr">
        <is>
          <t>Taux journalier HT</t>
        </is>
      </c>
    </row>
    <row r="11">
      <c r="A11" s="8" t="inlineStr">
        <is>
          <t>Chef de projet</t>
        </is>
      </c>
      <c r="B11" s="9" t="n">
        <v>75</v>
      </c>
      <c r="C11" s="10">
        <f>B11*$B$5</f>
        <v/>
      </c>
    </row>
    <row r="12">
      <c r="A12" s="8" t="inlineStr">
        <is>
          <t>Graphiste</t>
        </is>
      </c>
      <c r="B12" s="9" t="n">
        <v>65</v>
      </c>
      <c r="C12" s="10">
        <f>B12*$B$5</f>
        <v/>
      </c>
    </row>
    <row r="13">
      <c r="A13" s="8" t="inlineStr">
        <is>
          <t>Graphiste 3D</t>
        </is>
      </c>
      <c r="B13" s="9" t="n">
        <v>75</v>
      </c>
      <c r="C13" s="10">
        <f>B13*$B$5</f>
        <v/>
      </c>
    </row>
    <row r="14">
      <c r="A14" s="8" t="inlineStr">
        <is>
          <t>Photographe</t>
        </is>
      </c>
      <c r="B14" s="9" t="n">
        <v>70</v>
      </c>
      <c r="C14" s="10">
        <f>B14*$B$5</f>
        <v/>
      </c>
    </row>
    <row r="15">
      <c r="A15" s="8" t="inlineStr">
        <is>
          <t>Vidéaste</t>
        </is>
      </c>
      <c r="B15" s="9" t="n">
        <v>75</v>
      </c>
      <c r="C15" s="10">
        <f>B15*$B$5</f>
        <v/>
      </c>
    </row>
    <row r="16">
      <c r="A16" s="8" t="inlineStr">
        <is>
          <t>Monteur vidéo</t>
        </is>
      </c>
      <c r="B16" s="9" t="n">
        <v>65</v>
      </c>
      <c r="C16" s="10">
        <f>B16*$B$5</f>
        <v/>
      </c>
    </row>
    <row r="17">
      <c r="A17" s="8" t="inlineStr">
        <is>
          <t>Pilote drone</t>
        </is>
      </c>
      <c r="B17" s="9" t="n">
        <v>85</v>
      </c>
      <c r="C17" s="10">
        <f>B17*$B$5</f>
        <v/>
      </c>
    </row>
    <row r="18">
      <c r="A18" s="8" t="inlineStr">
        <is>
          <t>Développeur web</t>
        </is>
      </c>
      <c r="B18" s="9" t="n">
        <v>70</v>
      </c>
      <c r="C18" s="10">
        <f>B18*$B$5</f>
        <v/>
      </c>
    </row>
    <row r="19">
      <c r="A19" s="8" t="inlineStr">
        <is>
          <t>Community manager</t>
        </is>
      </c>
      <c r="B19" s="9" t="n">
        <v>55</v>
      </c>
      <c r="C19" s="10">
        <f>B19*$B$5</f>
        <v/>
      </c>
    </row>
    <row r="20">
      <c r="A20" s="8" t="inlineStr">
        <is>
          <t>Rédacteur</t>
        </is>
      </c>
      <c r="B20" s="9" t="n">
        <v>55</v>
      </c>
      <c r="C20" s="10">
        <f>B20*$B$5</f>
        <v/>
      </c>
    </row>
    <row r="22">
      <c r="A22" s="11" t="inlineStr">
        <is>
          <t>Taux indicatifs (moyenne du marché belge pour une petite agence/indépendant) — à remplacer par vos propres tarifs.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48" customWidth="1" min="3" max="3"/>
    <col width="19" customWidth="1" min="4" max="4"/>
    <col width="13" customWidth="1" min="5" max="5"/>
    <col width="10" customWidth="1" min="6" max="6"/>
    <col width="11" customWidth="1" min="7" max="7"/>
    <col width="13" customWidth="1" min="8" max="8"/>
    <col width="14" customWidth="1" min="9" max="9"/>
    <col width="14" customWidth="1" min="10" max="10"/>
    <col width="15" customWidth="1" min="11" max="11"/>
    <col width="7" customWidth="1" min="12" max="12"/>
    <col width="14" customWidth="1" min="13" max="13"/>
  </cols>
  <sheetData>
    <row r="1">
      <c r="A1" s="1" t="inlineStr">
        <is>
          <t>Grille tarifaire communication — Démarches SRL · Helicave, caves à vin enterrées</t>
        </is>
      </c>
    </row>
    <row r="2">
      <c r="A2" s="2" t="inlineStr">
        <is>
          <t>Bleu = modifiable (durée, frais, quantité). Remplir la colonne « Qté » pour obtenir un devis en bas de page. Prix en euros.</t>
        </is>
      </c>
    </row>
    <row r="4" ht="32" customHeight="1">
      <c r="A4" s="12" t="inlineStr">
        <is>
          <t>Réf</t>
        </is>
      </c>
      <c r="B4" s="12" t="inlineStr">
        <is>
          <t>Catégorie</t>
        </is>
      </c>
      <c r="C4" s="12" t="inlineStr">
        <is>
          <t>Prestation</t>
        </is>
      </c>
      <c r="D4" s="12" t="inlineStr">
        <is>
          <t>Profil</t>
        </is>
      </c>
      <c r="E4" s="12" t="inlineStr">
        <is>
          <t>Unité</t>
        </is>
      </c>
      <c r="F4" s="12" t="inlineStr">
        <is>
          <t>Durée (h)</t>
        </is>
      </c>
      <c r="G4" s="12" t="inlineStr">
        <is>
          <t>Durée (jours)</t>
        </is>
      </c>
      <c r="H4" s="12" t="inlineStr">
        <is>
          <t>Taux horaire HT</t>
        </is>
      </c>
      <c r="I4" s="12" t="inlineStr">
        <is>
          <t>Frais / matériel HT</t>
        </is>
      </c>
      <c r="J4" s="12" t="inlineStr">
        <is>
          <t>Prix unitaire HT</t>
        </is>
      </c>
      <c r="K4" s="12" t="inlineStr">
        <is>
          <t>Prix unitaire TVAC</t>
        </is>
      </c>
      <c r="L4" s="12" t="inlineStr">
        <is>
          <t>Qté</t>
        </is>
      </c>
      <c r="M4" s="12" t="inlineStr">
        <is>
          <t>Total HT</t>
        </is>
      </c>
    </row>
    <row r="5">
      <c r="A5" s="13" t="inlineStr">
        <is>
          <t>Stratégie &amp; gestion de projet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5" t="inlineStr">
        <is>
          <t>P01</t>
        </is>
      </c>
      <c r="B6" s="15" t="inlineStr">
        <is>
          <t>Stratégie &amp; gestion de projet</t>
        </is>
      </c>
      <c r="C6" s="15" t="inlineStr">
        <is>
          <t>Brief &amp; analyse de la demande</t>
        </is>
      </c>
      <c r="D6" s="15" t="inlineStr">
        <is>
          <t>Chef de projet</t>
        </is>
      </c>
      <c r="E6" s="15" t="inlineStr">
        <is>
          <t>forfait</t>
        </is>
      </c>
      <c r="F6" s="16" t="n">
        <v>4</v>
      </c>
      <c r="G6" s="17">
        <f>F6/'Paramètres'!$B$5</f>
        <v/>
      </c>
      <c r="H6" s="18">
        <f>IFERROR(INDEX('Paramètres'!$B$11:$B$20,MATCH(D6,'Paramètres'!$A$11:$A$20,0)),0)</f>
        <v/>
      </c>
      <c r="I6" s="19" t="n">
        <v>0</v>
      </c>
      <c r="J6" s="20">
        <f>F6*H6+I6</f>
        <v/>
      </c>
      <c r="K6" s="20">
        <f>J6*(1+'Paramètres'!$B$6)</f>
        <v/>
      </c>
      <c r="L6" s="21" t="n">
        <v>0</v>
      </c>
      <c r="M6" s="20">
        <f>J6*L6</f>
        <v/>
      </c>
    </row>
    <row r="7">
      <c r="A7" s="15" t="inlineStr">
        <is>
          <t>P02</t>
        </is>
      </c>
      <c r="B7" s="15" t="inlineStr">
        <is>
          <t>Stratégie &amp; gestion de projet</t>
        </is>
      </c>
      <c r="C7" s="15" t="inlineStr">
        <is>
          <t>Stratégie de communication annuelle</t>
        </is>
      </c>
      <c r="D7" s="15" t="inlineStr">
        <is>
          <t>Chef de projet</t>
        </is>
      </c>
      <c r="E7" s="15" t="inlineStr">
        <is>
          <t>forfait</t>
        </is>
      </c>
      <c r="F7" s="16" t="n">
        <v>16</v>
      </c>
      <c r="G7" s="17">
        <f>F7/'Paramètres'!$B$5</f>
        <v/>
      </c>
      <c r="H7" s="18">
        <f>IFERROR(INDEX('Paramètres'!$B$11:$B$20,MATCH(D7,'Paramètres'!$A$11:$A$20,0)),0)</f>
        <v/>
      </c>
      <c r="I7" s="19" t="n">
        <v>0</v>
      </c>
      <c r="J7" s="20">
        <f>F7*H7+I7</f>
        <v/>
      </c>
      <c r="K7" s="20">
        <f>J7*(1+'Paramètres'!$B$6)</f>
        <v/>
      </c>
      <c r="L7" s="21" t="n">
        <v>0</v>
      </c>
      <c r="M7" s="20">
        <f>J7*L7</f>
        <v/>
      </c>
    </row>
    <row r="8">
      <c r="A8" s="15" t="inlineStr">
        <is>
          <t>P03</t>
        </is>
      </c>
      <c r="B8" s="15" t="inlineStr">
        <is>
          <t>Stratégie &amp; gestion de projet</t>
        </is>
      </c>
      <c r="C8" s="15" t="inlineStr">
        <is>
          <t>Réunion client / suivi (déplacement inclus)</t>
        </is>
      </c>
      <c r="D8" s="15" t="inlineStr">
        <is>
          <t>Chef de projet</t>
        </is>
      </c>
      <c r="E8" s="15" t="inlineStr">
        <is>
          <t>forfait</t>
        </is>
      </c>
      <c r="F8" s="16" t="n">
        <v>2</v>
      </c>
      <c r="G8" s="17">
        <f>F8/'Paramètres'!$B$5</f>
        <v/>
      </c>
      <c r="H8" s="18">
        <f>IFERROR(INDEX('Paramètres'!$B$11:$B$20,MATCH(D8,'Paramètres'!$A$11:$A$20,0)),0)</f>
        <v/>
      </c>
      <c r="I8" s="19" t="n">
        <v>30</v>
      </c>
      <c r="J8" s="20">
        <f>F8*H8+I8</f>
        <v/>
      </c>
      <c r="K8" s="20">
        <f>J8*(1+'Paramètres'!$B$6)</f>
        <v/>
      </c>
      <c r="L8" s="21" t="n">
        <v>0</v>
      </c>
      <c r="M8" s="20">
        <f>J8*L8</f>
        <v/>
      </c>
    </row>
    <row r="9">
      <c r="A9" s="15" t="inlineStr">
        <is>
          <t>P04</t>
        </is>
      </c>
      <c r="B9" s="15" t="inlineStr">
        <is>
          <t>Stratégie &amp; gestion de projet</t>
        </is>
      </c>
      <c r="C9" s="15" t="inlineStr">
        <is>
          <t>Gestion de projet</t>
        </is>
      </c>
      <c r="D9" s="15" t="inlineStr">
        <is>
          <t>Chef de projet</t>
        </is>
      </c>
      <c r="E9" s="15" t="inlineStr">
        <is>
          <t>heure</t>
        </is>
      </c>
      <c r="F9" s="16" t="n">
        <v>1</v>
      </c>
      <c r="G9" s="17">
        <f>F9/'Paramètres'!$B$5</f>
        <v/>
      </c>
      <c r="H9" s="18">
        <f>IFERROR(INDEX('Paramètres'!$B$11:$B$20,MATCH(D9,'Paramètres'!$A$11:$A$20,0)),0)</f>
        <v/>
      </c>
      <c r="I9" s="19" t="n">
        <v>0</v>
      </c>
      <c r="J9" s="20">
        <f>F9*H9+I9</f>
        <v/>
      </c>
      <c r="K9" s="20">
        <f>J9*(1+'Paramètres'!$B$6)</f>
        <v/>
      </c>
      <c r="L9" s="21" t="n">
        <v>0</v>
      </c>
      <c r="M9" s="20">
        <f>J9*L9</f>
        <v/>
      </c>
    </row>
    <row r="10">
      <c r="A10" s="13" t="inlineStr">
        <is>
          <t>Graphisme &amp; print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</row>
    <row r="11">
      <c r="A11" s="15" t="inlineStr">
        <is>
          <t>P05</t>
        </is>
      </c>
      <c r="B11" s="15" t="inlineStr">
        <is>
          <t>Graphisme &amp; print</t>
        </is>
      </c>
      <c r="C11" s="15" t="inlineStr">
        <is>
          <t>Heure de graphisme</t>
        </is>
      </c>
      <c r="D11" s="15" t="inlineStr">
        <is>
          <t>Graphiste</t>
        </is>
      </c>
      <c r="E11" s="15" t="inlineStr">
        <is>
          <t>heure</t>
        </is>
      </c>
      <c r="F11" s="16" t="n">
        <v>1</v>
      </c>
      <c r="G11" s="17">
        <f>F11/'Paramètres'!$B$5</f>
        <v/>
      </c>
      <c r="H11" s="18">
        <f>IFERROR(INDEX('Paramètres'!$B$11:$B$20,MATCH(D11,'Paramètres'!$A$11:$A$20,0)),0)</f>
        <v/>
      </c>
      <c r="I11" s="19" t="n">
        <v>0</v>
      </c>
      <c r="J11" s="20">
        <f>F11*H11+I11</f>
        <v/>
      </c>
      <c r="K11" s="20">
        <f>J11*(1+'Paramètres'!$B$6)</f>
        <v/>
      </c>
      <c r="L11" s="21" t="n">
        <v>0</v>
      </c>
      <c r="M11" s="20">
        <f>J11*L11</f>
        <v/>
      </c>
    </row>
    <row r="12">
      <c r="A12" s="15" t="inlineStr">
        <is>
          <t>P06</t>
        </is>
      </c>
      <c r="B12" s="15" t="inlineStr">
        <is>
          <t>Graphisme &amp; print</t>
        </is>
      </c>
      <c r="C12" s="15" t="inlineStr">
        <is>
          <t>Journée de graphisme</t>
        </is>
      </c>
      <c r="D12" s="15" t="inlineStr">
        <is>
          <t>Graphiste</t>
        </is>
      </c>
      <c r="E12" s="15" t="inlineStr">
        <is>
          <t>jour</t>
        </is>
      </c>
      <c r="F12" s="16" t="n">
        <v>8</v>
      </c>
      <c r="G12" s="17">
        <f>F12/'Paramètres'!$B$5</f>
        <v/>
      </c>
      <c r="H12" s="18">
        <f>IFERROR(INDEX('Paramètres'!$B$11:$B$20,MATCH(D12,'Paramètres'!$A$11:$A$20,0)),0)</f>
        <v/>
      </c>
      <c r="I12" s="19" t="n">
        <v>0</v>
      </c>
      <c r="J12" s="20">
        <f>F12*H12+I12</f>
        <v/>
      </c>
      <c r="K12" s="20">
        <f>J12*(1+'Paramètres'!$B$6)</f>
        <v/>
      </c>
      <c r="L12" s="21" t="n">
        <v>0</v>
      </c>
      <c r="M12" s="20">
        <f>J12*L12</f>
        <v/>
      </c>
    </row>
    <row r="13">
      <c r="A13" s="15" t="inlineStr">
        <is>
          <t>P07</t>
        </is>
      </c>
      <c r="B13" s="15" t="inlineStr">
        <is>
          <t>Graphisme &amp; print</t>
        </is>
      </c>
      <c r="C13" s="15" t="inlineStr">
        <is>
          <t>Création / refonte de logo</t>
        </is>
      </c>
      <c r="D13" s="15" t="inlineStr">
        <is>
          <t>Graphiste</t>
        </is>
      </c>
      <c r="E13" s="15" t="inlineStr">
        <is>
          <t>forfait</t>
        </is>
      </c>
      <c r="F13" s="16" t="n">
        <v>24</v>
      </c>
      <c r="G13" s="17">
        <f>F13/'Paramètres'!$B$5</f>
        <v/>
      </c>
      <c r="H13" s="18">
        <f>IFERROR(INDEX('Paramètres'!$B$11:$B$20,MATCH(D13,'Paramètres'!$A$11:$A$20,0)),0)</f>
        <v/>
      </c>
      <c r="I13" s="19" t="n">
        <v>0</v>
      </c>
      <c r="J13" s="20">
        <f>F13*H13+I13</f>
        <v/>
      </c>
      <c r="K13" s="20">
        <f>J13*(1+'Paramètres'!$B$6)</f>
        <v/>
      </c>
      <c r="L13" s="21" t="n">
        <v>0</v>
      </c>
      <c r="M13" s="20">
        <f>J13*L13</f>
        <v/>
      </c>
    </row>
    <row r="14">
      <c r="A14" s="15" t="inlineStr">
        <is>
          <t>P08</t>
        </is>
      </c>
      <c r="B14" s="15" t="inlineStr">
        <is>
          <t>Graphisme &amp; print</t>
        </is>
      </c>
      <c r="C14" s="15" t="inlineStr">
        <is>
          <t>Charte graphique complète</t>
        </is>
      </c>
      <c r="D14" s="15" t="inlineStr">
        <is>
          <t>Graphiste</t>
        </is>
      </c>
      <c r="E14" s="15" t="inlineStr">
        <is>
          <t>forfait</t>
        </is>
      </c>
      <c r="F14" s="16" t="n">
        <v>16</v>
      </c>
      <c r="G14" s="17">
        <f>F14/'Paramètres'!$B$5</f>
        <v/>
      </c>
      <c r="H14" s="18">
        <f>IFERROR(INDEX('Paramètres'!$B$11:$B$20,MATCH(D14,'Paramètres'!$A$11:$A$20,0)),0)</f>
        <v/>
      </c>
      <c r="I14" s="19" t="n">
        <v>0</v>
      </c>
      <c r="J14" s="20">
        <f>F14*H14+I14</f>
        <v/>
      </c>
      <c r="K14" s="20">
        <f>J14*(1+'Paramètres'!$B$6)</f>
        <v/>
      </c>
      <c r="L14" s="21" t="n">
        <v>0</v>
      </c>
      <c r="M14" s="20">
        <f>J14*L14</f>
        <v/>
      </c>
    </row>
    <row r="15">
      <c r="A15" s="15" t="inlineStr">
        <is>
          <t>P09</t>
        </is>
      </c>
      <c r="B15" s="15" t="inlineStr">
        <is>
          <t>Graphisme &amp; print</t>
        </is>
      </c>
      <c r="C15" s="15" t="inlineStr">
        <is>
          <t>Brochure / catalogue Helicave (A4, 8 pages)</t>
        </is>
      </c>
      <c r="D15" s="15" t="inlineStr">
        <is>
          <t>Graphiste</t>
        </is>
      </c>
      <c r="E15" s="15" t="inlineStr">
        <is>
          <t>forfait</t>
        </is>
      </c>
      <c r="F15" s="16" t="n">
        <v>16</v>
      </c>
      <c r="G15" s="17">
        <f>F15/'Paramètres'!$B$5</f>
        <v/>
      </c>
      <c r="H15" s="18">
        <f>IFERROR(INDEX('Paramètres'!$B$11:$B$20,MATCH(D15,'Paramètres'!$A$11:$A$20,0)),0)</f>
        <v/>
      </c>
      <c r="I15" s="19" t="n">
        <v>0</v>
      </c>
      <c r="J15" s="20">
        <f>F15*H15+I15</f>
        <v/>
      </c>
      <c r="K15" s="20">
        <f>J15*(1+'Paramètres'!$B$6)</f>
        <v/>
      </c>
      <c r="L15" s="21" t="n">
        <v>0</v>
      </c>
      <c r="M15" s="20">
        <f>J15*L15</f>
        <v/>
      </c>
    </row>
    <row r="16">
      <c r="A16" s="15" t="inlineStr">
        <is>
          <t>P10</t>
        </is>
      </c>
      <c r="B16" s="15" t="inlineStr">
        <is>
          <t>Graphisme &amp; print</t>
        </is>
      </c>
      <c r="C16" s="15" t="inlineStr">
        <is>
          <t>Flyer A5 recto-verso</t>
        </is>
      </c>
      <c r="D16" s="15" t="inlineStr">
        <is>
          <t>Graphiste</t>
        </is>
      </c>
      <c r="E16" s="15" t="inlineStr">
        <is>
          <t>forfait</t>
        </is>
      </c>
      <c r="F16" s="16" t="n">
        <v>4</v>
      </c>
      <c r="G16" s="17">
        <f>F16/'Paramètres'!$B$5</f>
        <v/>
      </c>
      <c r="H16" s="18">
        <f>IFERROR(INDEX('Paramètres'!$B$11:$B$20,MATCH(D16,'Paramètres'!$A$11:$A$20,0)),0)</f>
        <v/>
      </c>
      <c r="I16" s="19" t="n">
        <v>0</v>
      </c>
      <c r="J16" s="20">
        <f>F16*H16+I16</f>
        <v/>
      </c>
      <c r="K16" s="20">
        <f>J16*(1+'Paramètres'!$B$6)</f>
        <v/>
      </c>
      <c r="L16" s="21" t="n">
        <v>0</v>
      </c>
      <c r="M16" s="20">
        <f>J16*L16</f>
        <v/>
      </c>
    </row>
    <row r="17">
      <c r="A17" s="15" t="inlineStr">
        <is>
          <t>P11</t>
        </is>
      </c>
      <c r="B17" s="15" t="inlineStr">
        <is>
          <t>Graphisme &amp; print</t>
        </is>
      </c>
      <c r="C17" s="15" t="inlineStr">
        <is>
          <t>Affiche / poster</t>
        </is>
      </c>
      <c r="D17" s="15" t="inlineStr">
        <is>
          <t>Graphiste</t>
        </is>
      </c>
      <c r="E17" s="15" t="inlineStr">
        <is>
          <t>forfait</t>
        </is>
      </c>
      <c r="F17" s="16" t="n">
        <v>4</v>
      </c>
      <c r="G17" s="17">
        <f>F17/'Paramètres'!$B$5</f>
        <v/>
      </c>
      <c r="H17" s="18">
        <f>IFERROR(INDEX('Paramètres'!$B$11:$B$20,MATCH(D17,'Paramètres'!$A$11:$A$20,0)),0)</f>
        <v/>
      </c>
      <c r="I17" s="19" t="n">
        <v>0</v>
      </c>
      <c r="J17" s="20">
        <f>F17*H17+I17</f>
        <v/>
      </c>
      <c r="K17" s="20">
        <f>J17*(1+'Paramètres'!$B$6)</f>
        <v/>
      </c>
      <c r="L17" s="21" t="n">
        <v>0</v>
      </c>
      <c r="M17" s="20">
        <f>J17*L17</f>
        <v/>
      </c>
    </row>
    <row r="18">
      <c r="A18" s="15" t="inlineStr">
        <is>
          <t>P12</t>
        </is>
      </c>
      <c r="B18" s="15" t="inlineStr">
        <is>
          <t>Graphisme &amp; print</t>
        </is>
      </c>
      <c r="C18" s="15" t="inlineStr">
        <is>
          <t>Roll-up / kakémono salon</t>
        </is>
      </c>
      <c r="D18" s="15" t="inlineStr">
        <is>
          <t>Graphiste</t>
        </is>
      </c>
      <c r="E18" s="15" t="inlineStr">
        <is>
          <t>forfait</t>
        </is>
      </c>
      <c r="F18" s="16" t="n">
        <v>4</v>
      </c>
      <c r="G18" s="17">
        <f>F18/'Paramètres'!$B$5</f>
        <v/>
      </c>
      <c r="H18" s="18">
        <f>IFERROR(INDEX('Paramètres'!$B$11:$B$20,MATCH(D18,'Paramètres'!$A$11:$A$20,0)),0)</f>
        <v/>
      </c>
      <c r="I18" s="19" t="n">
        <v>0</v>
      </c>
      <c r="J18" s="20">
        <f>F18*H18+I18</f>
        <v/>
      </c>
      <c r="K18" s="20">
        <f>J18*(1+'Paramètres'!$B$6)</f>
        <v/>
      </c>
      <c r="L18" s="21" t="n">
        <v>0</v>
      </c>
      <c r="M18" s="20">
        <f>J18*L18</f>
        <v/>
      </c>
    </row>
    <row r="19">
      <c r="A19" s="15" t="inlineStr">
        <is>
          <t>P13</t>
        </is>
      </c>
      <c r="B19" s="15" t="inlineStr">
        <is>
          <t>Graphisme &amp; print</t>
        </is>
      </c>
      <c r="C19" s="15" t="inlineStr">
        <is>
          <t>Cartes de visite</t>
        </is>
      </c>
      <c r="D19" s="15" t="inlineStr">
        <is>
          <t>Graphiste</t>
        </is>
      </c>
      <c r="E19" s="15" t="inlineStr">
        <is>
          <t>forfait</t>
        </is>
      </c>
      <c r="F19" s="16" t="n">
        <v>2</v>
      </c>
      <c r="G19" s="17">
        <f>F19/'Paramètres'!$B$5</f>
        <v/>
      </c>
      <c r="H19" s="18">
        <f>IFERROR(INDEX('Paramètres'!$B$11:$B$20,MATCH(D19,'Paramètres'!$A$11:$A$20,0)),0)</f>
        <v/>
      </c>
      <c r="I19" s="19" t="n">
        <v>0</v>
      </c>
      <c r="J19" s="20">
        <f>F19*H19+I19</f>
        <v/>
      </c>
      <c r="K19" s="20">
        <f>J19*(1+'Paramètres'!$B$6)</f>
        <v/>
      </c>
      <c r="L19" s="21" t="n">
        <v>0</v>
      </c>
      <c r="M19" s="20">
        <f>J19*L19</f>
        <v/>
      </c>
    </row>
    <row r="20">
      <c r="A20" s="15" t="inlineStr">
        <is>
          <t>P14</t>
        </is>
      </c>
      <c r="B20" s="15" t="inlineStr">
        <is>
          <t>Graphisme &amp; print</t>
        </is>
      </c>
      <c r="C20" s="15" t="inlineStr">
        <is>
          <t>Annonce presse / magazine</t>
        </is>
      </c>
      <c r="D20" s="15" t="inlineStr">
        <is>
          <t>Graphiste</t>
        </is>
      </c>
      <c r="E20" s="15" t="inlineStr">
        <is>
          <t>forfait</t>
        </is>
      </c>
      <c r="F20" s="16" t="n">
        <v>3</v>
      </c>
      <c r="G20" s="17">
        <f>F20/'Paramètres'!$B$5</f>
        <v/>
      </c>
      <c r="H20" s="18">
        <f>IFERROR(INDEX('Paramètres'!$B$11:$B$20,MATCH(D20,'Paramètres'!$A$11:$A$20,0)),0)</f>
        <v/>
      </c>
      <c r="I20" s="19" t="n">
        <v>0</v>
      </c>
      <c r="J20" s="20">
        <f>F20*H20+I20</f>
        <v/>
      </c>
      <c r="K20" s="20">
        <f>J20*(1+'Paramètres'!$B$6)</f>
        <v/>
      </c>
      <c r="L20" s="21" t="n">
        <v>0</v>
      </c>
      <c r="M20" s="20">
        <f>J20*L20</f>
        <v/>
      </c>
    </row>
    <row r="21">
      <c r="A21" s="15" t="inlineStr">
        <is>
          <t>P15</t>
        </is>
      </c>
      <c r="B21" s="15" t="inlineStr">
        <is>
          <t>Graphisme &amp; print</t>
        </is>
      </c>
      <c r="C21" s="15" t="inlineStr">
        <is>
          <t>Habillage véhicule / signalétique</t>
        </is>
      </c>
      <c r="D21" s="15" t="inlineStr">
        <is>
          <t>Graphiste</t>
        </is>
      </c>
      <c r="E21" s="15" t="inlineStr">
        <is>
          <t>forfait</t>
        </is>
      </c>
      <c r="F21" s="16" t="n">
        <v>8</v>
      </c>
      <c r="G21" s="17">
        <f>F21/'Paramètres'!$B$5</f>
        <v/>
      </c>
      <c r="H21" s="18">
        <f>IFERROR(INDEX('Paramètres'!$B$11:$B$20,MATCH(D21,'Paramètres'!$A$11:$A$20,0)),0)</f>
        <v/>
      </c>
      <c r="I21" s="19" t="n">
        <v>0</v>
      </c>
      <c r="J21" s="20">
        <f>F21*H21+I21</f>
        <v/>
      </c>
      <c r="K21" s="20">
        <f>J21*(1+'Paramètres'!$B$6)</f>
        <v/>
      </c>
      <c r="L21" s="21" t="n">
        <v>0</v>
      </c>
      <c r="M21" s="20">
        <f>J21*L21</f>
        <v/>
      </c>
    </row>
    <row r="22">
      <c r="A22" s="15" t="inlineStr">
        <is>
          <t>P16</t>
        </is>
      </c>
      <c r="B22" s="15" t="inlineStr">
        <is>
          <t>Graphisme &amp; print</t>
        </is>
      </c>
      <c r="C22" s="15" t="inlineStr">
        <is>
          <t>Pack 10 visuels réseaux sociaux</t>
        </is>
      </c>
      <c r="D22" s="15" t="inlineStr">
        <is>
          <t>Graphiste</t>
        </is>
      </c>
      <c r="E22" s="15" t="inlineStr">
        <is>
          <t>forfait</t>
        </is>
      </c>
      <c r="F22" s="16" t="n">
        <v>6</v>
      </c>
      <c r="G22" s="17">
        <f>F22/'Paramètres'!$B$5</f>
        <v/>
      </c>
      <c r="H22" s="18">
        <f>IFERROR(INDEX('Paramètres'!$B$11:$B$20,MATCH(D22,'Paramètres'!$A$11:$A$20,0)),0)</f>
        <v/>
      </c>
      <c r="I22" s="19" t="n">
        <v>0</v>
      </c>
      <c r="J22" s="20">
        <f>F22*H22+I22</f>
        <v/>
      </c>
      <c r="K22" s="20">
        <f>J22*(1+'Paramètres'!$B$6)</f>
        <v/>
      </c>
      <c r="L22" s="21" t="n">
        <v>0</v>
      </c>
      <c r="M22" s="20">
        <f>J22*L22</f>
        <v/>
      </c>
    </row>
    <row r="23">
      <c r="A23" s="15" t="inlineStr">
        <is>
          <t>P17</t>
        </is>
      </c>
      <c r="B23" s="15" t="inlineStr">
        <is>
          <t>Graphisme &amp; print</t>
        </is>
      </c>
      <c r="C23" s="15" t="inlineStr">
        <is>
          <t>Conception stand salon / foire</t>
        </is>
      </c>
      <c r="D23" s="15" t="inlineStr">
        <is>
          <t>Graphiste</t>
        </is>
      </c>
      <c r="E23" s="15" t="inlineStr">
        <is>
          <t>forfait</t>
        </is>
      </c>
      <c r="F23" s="16" t="n">
        <v>16</v>
      </c>
      <c r="G23" s="17">
        <f>F23/'Paramètres'!$B$5</f>
        <v/>
      </c>
      <c r="H23" s="18">
        <f>IFERROR(INDEX('Paramètres'!$B$11:$B$20,MATCH(D23,'Paramètres'!$A$11:$A$20,0)),0)</f>
        <v/>
      </c>
      <c r="I23" s="19" t="n">
        <v>0</v>
      </c>
      <c r="J23" s="20">
        <f>F23*H23+I23</f>
        <v/>
      </c>
      <c r="K23" s="20">
        <f>J23*(1+'Paramètres'!$B$6)</f>
        <v/>
      </c>
      <c r="L23" s="21" t="n">
        <v>0</v>
      </c>
      <c r="M23" s="20">
        <f>J23*L23</f>
        <v/>
      </c>
    </row>
    <row r="24">
      <c r="A24" s="15" t="inlineStr">
        <is>
          <t>P18</t>
        </is>
      </c>
      <c r="B24" s="15" t="inlineStr">
        <is>
          <t>Graphisme &amp; print</t>
        </is>
      </c>
      <c r="C24" s="15" t="inlineStr">
        <is>
          <t>Modélisation 3D / rendu d'une cave Helicave</t>
        </is>
      </c>
      <c r="D24" s="15" t="inlineStr">
        <is>
          <t>Graphiste 3D</t>
        </is>
      </c>
      <c r="E24" s="15" t="inlineStr">
        <is>
          <t>forfait</t>
        </is>
      </c>
      <c r="F24" s="16" t="n">
        <v>16</v>
      </c>
      <c r="G24" s="17">
        <f>F24/'Paramètres'!$B$5</f>
        <v/>
      </c>
      <c r="H24" s="18">
        <f>IFERROR(INDEX('Paramètres'!$B$11:$B$20,MATCH(D24,'Paramètres'!$A$11:$A$20,0)),0)</f>
        <v/>
      </c>
      <c r="I24" s="19" t="n">
        <v>0</v>
      </c>
      <c r="J24" s="20">
        <f>F24*H24+I24</f>
        <v/>
      </c>
      <c r="K24" s="20">
        <f>J24*(1+'Paramètres'!$B$6)</f>
        <v/>
      </c>
      <c r="L24" s="21" t="n">
        <v>0</v>
      </c>
      <c r="M24" s="20">
        <f>J24*L24</f>
        <v/>
      </c>
    </row>
    <row r="25">
      <c r="A25" s="13" t="inlineStr">
        <is>
          <t>Photo (shooting)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5" t="inlineStr">
        <is>
          <t>P19</t>
        </is>
      </c>
      <c r="B26" s="15" t="inlineStr">
        <is>
          <t>Photo (shooting)</t>
        </is>
      </c>
      <c r="C26" s="15" t="inlineStr">
        <is>
          <t>Shooting photo demi-journée</t>
        </is>
      </c>
      <c r="D26" s="15" t="inlineStr">
        <is>
          <t>Photographe</t>
        </is>
      </c>
      <c r="E26" s="15" t="inlineStr">
        <is>
          <t>demi-journée</t>
        </is>
      </c>
      <c r="F26" s="16" t="n">
        <v>4</v>
      </c>
      <c r="G26" s="17">
        <f>F26/'Paramètres'!$B$5</f>
        <v/>
      </c>
      <c r="H26" s="18">
        <f>IFERROR(INDEX('Paramètres'!$B$11:$B$20,MATCH(D26,'Paramètres'!$A$11:$A$20,0)),0)</f>
        <v/>
      </c>
      <c r="I26" s="19" t="n">
        <v>50</v>
      </c>
      <c r="J26" s="20">
        <f>F26*H26+I26</f>
        <v/>
      </c>
      <c r="K26" s="20">
        <f>J26*(1+'Paramètres'!$B$6)</f>
        <v/>
      </c>
      <c r="L26" s="21" t="n">
        <v>0</v>
      </c>
      <c r="M26" s="20">
        <f>J26*L26</f>
        <v/>
      </c>
    </row>
    <row r="27">
      <c r="A27" s="15" t="inlineStr">
        <is>
          <t>P20</t>
        </is>
      </c>
      <c r="B27" s="15" t="inlineStr">
        <is>
          <t>Photo (shooting)</t>
        </is>
      </c>
      <c r="C27" s="15" t="inlineStr">
        <is>
          <t>Shooting photo journée</t>
        </is>
      </c>
      <c r="D27" s="15" t="inlineStr">
        <is>
          <t>Photographe</t>
        </is>
      </c>
      <c r="E27" s="15" t="inlineStr">
        <is>
          <t>jour</t>
        </is>
      </c>
      <c r="F27" s="16" t="n">
        <v>8</v>
      </c>
      <c r="G27" s="17">
        <f>F27/'Paramètres'!$B$5</f>
        <v/>
      </c>
      <c r="H27" s="18">
        <f>IFERROR(INDEX('Paramètres'!$B$11:$B$20,MATCH(D27,'Paramètres'!$A$11:$A$20,0)),0)</f>
        <v/>
      </c>
      <c r="I27" s="19" t="n">
        <v>80</v>
      </c>
      <c r="J27" s="20">
        <f>F27*H27+I27</f>
        <v/>
      </c>
      <c r="K27" s="20">
        <f>J27*(1+'Paramètres'!$B$6)</f>
        <v/>
      </c>
      <c r="L27" s="21" t="n">
        <v>0</v>
      </c>
      <c r="M27" s="20">
        <f>J27*L27</f>
        <v/>
      </c>
    </row>
    <row r="28">
      <c r="A28" s="15" t="inlineStr">
        <is>
          <t>P21</t>
        </is>
      </c>
      <c r="B28" s="15" t="inlineStr">
        <is>
          <t>Photo (shooting)</t>
        </is>
      </c>
      <c r="C28" s="15" t="inlineStr">
        <is>
          <t>Reportage chantier (avant / pendant / après pose)</t>
        </is>
      </c>
      <c r="D28" s="15" t="inlineStr">
        <is>
          <t>Photographe</t>
        </is>
      </c>
      <c r="E28" s="15" t="inlineStr">
        <is>
          <t>forfait</t>
        </is>
      </c>
      <c r="F28" s="16" t="n">
        <v>6</v>
      </c>
      <c r="G28" s="17">
        <f>F28/'Paramètres'!$B$5</f>
        <v/>
      </c>
      <c r="H28" s="18">
        <f>IFERROR(INDEX('Paramètres'!$B$11:$B$20,MATCH(D28,'Paramètres'!$A$11:$A$20,0)),0)</f>
        <v/>
      </c>
      <c r="I28" s="19" t="n">
        <v>50</v>
      </c>
      <c r="J28" s="20">
        <f>F28*H28+I28</f>
        <v/>
      </c>
      <c r="K28" s="20">
        <f>J28*(1+'Paramètres'!$B$6)</f>
        <v/>
      </c>
      <c r="L28" s="21" t="n">
        <v>0</v>
      </c>
      <c r="M28" s="20">
        <f>J28*L28</f>
        <v/>
      </c>
    </row>
    <row r="29">
      <c r="A29" s="15" t="inlineStr">
        <is>
          <t>P22</t>
        </is>
      </c>
      <c r="B29" s="15" t="inlineStr">
        <is>
          <t>Photo (shooting)</t>
        </is>
      </c>
      <c r="C29" s="15" t="inlineStr">
        <is>
          <t>Couverture photo événement / portes ouvertes</t>
        </is>
      </c>
      <c r="D29" s="15" t="inlineStr">
        <is>
          <t>Photographe</t>
        </is>
      </c>
      <c r="E29" s="15" t="inlineStr">
        <is>
          <t>forfait</t>
        </is>
      </c>
      <c r="F29" s="16" t="n">
        <v>4</v>
      </c>
      <c r="G29" s="17">
        <f>F29/'Paramètres'!$B$5</f>
        <v/>
      </c>
      <c r="H29" s="18">
        <f>IFERROR(INDEX('Paramètres'!$B$11:$B$20,MATCH(D29,'Paramètres'!$A$11:$A$20,0)),0)</f>
        <v/>
      </c>
      <c r="I29" s="19" t="n">
        <v>50</v>
      </c>
      <c r="J29" s="20">
        <f>F29*H29+I29</f>
        <v/>
      </c>
      <c r="K29" s="20">
        <f>J29*(1+'Paramètres'!$B$6)</f>
        <v/>
      </c>
      <c r="L29" s="21" t="n">
        <v>0</v>
      </c>
      <c r="M29" s="20">
        <f>J29*L29</f>
        <v/>
      </c>
    </row>
    <row r="30">
      <c r="A30" s="15" t="inlineStr">
        <is>
          <t>P23</t>
        </is>
      </c>
      <c r="B30" s="15" t="inlineStr">
        <is>
          <t>Photo (shooting)</t>
        </is>
      </c>
      <c r="C30" s="15" t="inlineStr">
        <is>
          <t>Retouche photo (par photo)</t>
        </is>
      </c>
      <c r="D30" s="15" t="inlineStr">
        <is>
          <t>Photographe</t>
        </is>
      </c>
      <c r="E30" s="15" t="inlineStr">
        <is>
          <t>photo</t>
        </is>
      </c>
      <c r="F30" s="16" t="n">
        <v>0.25</v>
      </c>
      <c r="G30" s="17">
        <f>F30/'Paramètres'!$B$5</f>
        <v/>
      </c>
      <c r="H30" s="18">
        <f>IFERROR(INDEX('Paramètres'!$B$11:$B$20,MATCH(D30,'Paramètres'!$A$11:$A$20,0)),0)</f>
        <v/>
      </c>
      <c r="I30" s="19" t="n">
        <v>0</v>
      </c>
      <c r="J30" s="20">
        <f>F30*H30+I30</f>
        <v/>
      </c>
      <c r="K30" s="20">
        <f>J30*(1+'Paramètres'!$B$6)</f>
        <v/>
      </c>
      <c r="L30" s="21" t="n">
        <v>0</v>
      </c>
      <c r="M30" s="20">
        <f>J30*L30</f>
        <v/>
      </c>
    </row>
    <row r="31">
      <c r="A31" s="13" t="inlineStr">
        <is>
          <t>Vidéo (tournage &amp; montage)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5" t="inlineStr">
        <is>
          <t>P24</t>
        </is>
      </c>
      <c r="B32" s="15" t="inlineStr">
        <is>
          <t>Vidéo (tournage &amp; montage)</t>
        </is>
      </c>
      <c r="C32" s="15" t="inlineStr">
        <is>
          <t>Tournage demi-journée (matériel inclus)</t>
        </is>
      </c>
      <c r="D32" s="15" t="inlineStr">
        <is>
          <t>Vidéaste</t>
        </is>
      </c>
      <c r="E32" s="15" t="inlineStr">
        <is>
          <t>demi-journée</t>
        </is>
      </c>
      <c r="F32" s="16" t="n">
        <v>4</v>
      </c>
      <c r="G32" s="17">
        <f>F32/'Paramètres'!$B$5</f>
        <v/>
      </c>
      <c r="H32" s="18">
        <f>IFERROR(INDEX('Paramètres'!$B$11:$B$20,MATCH(D32,'Paramètres'!$A$11:$A$20,0)),0)</f>
        <v/>
      </c>
      <c r="I32" s="19" t="n">
        <v>100</v>
      </c>
      <c r="J32" s="20">
        <f>F32*H32+I32</f>
        <v/>
      </c>
      <c r="K32" s="20">
        <f>J32*(1+'Paramètres'!$B$6)</f>
        <v/>
      </c>
      <c r="L32" s="21" t="n">
        <v>0</v>
      </c>
      <c r="M32" s="20">
        <f>J32*L32</f>
        <v/>
      </c>
    </row>
    <row r="33">
      <c r="A33" s="15" t="inlineStr">
        <is>
          <t>P25</t>
        </is>
      </c>
      <c r="B33" s="15" t="inlineStr">
        <is>
          <t>Vidéo (tournage &amp; montage)</t>
        </is>
      </c>
      <c r="C33" s="15" t="inlineStr">
        <is>
          <t>Tournage journée (matériel inclus)</t>
        </is>
      </c>
      <c r="D33" s="15" t="inlineStr">
        <is>
          <t>Vidéaste</t>
        </is>
      </c>
      <c r="E33" s="15" t="inlineStr">
        <is>
          <t>jour</t>
        </is>
      </c>
      <c r="F33" s="16" t="n">
        <v>8</v>
      </c>
      <c r="G33" s="17">
        <f>F33/'Paramètres'!$B$5</f>
        <v/>
      </c>
      <c r="H33" s="18">
        <f>IFERROR(INDEX('Paramètres'!$B$11:$B$20,MATCH(D33,'Paramètres'!$A$11:$A$20,0)),0)</f>
        <v/>
      </c>
      <c r="I33" s="19" t="n">
        <v>150</v>
      </c>
      <c r="J33" s="20">
        <f>F33*H33+I33</f>
        <v/>
      </c>
      <c r="K33" s="20">
        <f>J33*(1+'Paramètres'!$B$6)</f>
        <v/>
      </c>
      <c r="L33" s="21" t="n">
        <v>1</v>
      </c>
      <c r="M33" s="20">
        <f>J33*L33</f>
        <v/>
      </c>
    </row>
    <row r="34">
      <c r="A34" s="15" t="inlineStr">
        <is>
          <t>P26</t>
        </is>
      </c>
      <c r="B34" s="15" t="inlineStr">
        <is>
          <t>Vidéo (tournage &amp; montage)</t>
        </is>
      </c>
      <c r="C34" s="15" t="inlineStr">
        <is>
          <t>Prises de vue drone</t>
        </is>
      </c>
      <c r="D34" s="15" t="inlineStr">
        <is>
          <t>Pilote drone</t>
        </is>
      </c>
      <c r="E34" s="15" t="inlineStr">
        <is>
          <t>demi-journée</t>
        </is>
      </c>
      <c r="F34" s="16" t="n">
        <v>4</v>
      </c>
      <c r="G34" s="17">
        <f>F34/'Paramètres'!$B$5</f>
        <v/>
      </c>
      <c r="H34" s="18">
        <f>IFERROR(INDEX('Paramètres'!$B$11:$B$20,MATCH(D34,'Paramètres'!$A$11:$A$20,0)),0)</f>
        <v/>
      </c>
      <c r="I34" s="19" t="n">
        <v>150</v>
      </c>
      <c r="J34" s="20">
        <f>F34*H34+I34</f>
        <v/>
      </c>
      <c r="K34" s="20">
        <f>J34*(1+'Paramètres'!$B$6)</f>
        <v/>
      </c>
      <c r="L34" s="21" t="n">
        <v>0</v>
      </c>
      <c r="M34" s="20">
        <f>J34*L34</f>
        <v/>
      </c>
    </row>
    <row r="35">
      <c r="A35" s="15" t="inlineStr">
        <is>
          <t>P27</t>
        </is>
      </c>
      <c r="B35" s="15" t="inlineStr">
        <is>
          <t>Vidéo (tournage &amp; montage)</t>
        </is>
      </c>
      <c r="C35" s="15" t="inlineStr">
        <is>
          <t>Heure de montage</t>
        </is>
      </c>
      <c r="D35" s="15" t="inlineStr">
        <is>
          <t>Monteur vidéo</t>
        </is>
      </c>
      <c r="E35" s="15" t="inlineStr">
        <is>
          <t>heure</t>
        </is>
      </c>
      <c r="F35" s="16" t="n">
        <v>1</v>
      </c>
      <c r="G35" s="17">
        <f>F35/'Paramètres'!$B$5</f>
        <v/>
      </c>
      <c r="H35" s="18">
        <f>IFERROR(INDEX('Paramètres'!$B$11:$B$20,MATCH(D35,'Paramètres'!$A$11:$A$20,0)),0)</f>
        <v/>
      </c>
      <c r="I35" s="19" t="n">
        <v>0</v>
      </c>
      <c r="J35" s="20">
        <f>F35*H35+I35</f>
        <v/>
      </c>
      <c r="K35" s="20">
        <f>J35*(1+'Paramètres'!$B$6)</f>
        <v/>
      </c>
      <c r="L35" s="21" t="n">
        <v>0</v>
      </c>
      <c r="M35" s="20">
        <f>J35*L35</f>
        <v/>
      </c>
    </row>
    <row r="36">
      <c r="A36" s="15" t="inlineStr">
        <is>
          <t>P28</t>
        </is>
      </c>
      <c r="B36" s="15" t="inlineStr">
        <is>
          <t>Vidéo (tournage &amp; montage)</t>
        </is>
      </c>
      <c r="C36" s="15" t="inlineStr">
        <is>
          <t>Montage film promo Helicave (1–2 min)</t>
        </is>
      </c>
      <c r="D36" s="15" t="inlineStr">
        <is>
          <t>Monteur vidéo</t>
        </is>
      </c>
      <c r="E36" s="15" t="inlineStr">
        <is>
          <t>forfait</t>
        </is>
      </c>
      <c r="F36" s="16" t="n">
        <v>16</v>
      </c>
      <c r="G36" s="17">
        <f>F36/'Paramètres'!$B$5</f>
        <v/>
      </c>
      <c r="H36" s="18">
        <f>IFERROR(INDEX('Paramètres'!$B$11:$B$20,MATCH(D36,'Paramètres'!$A$11:$A$20,0)),0)</f>
        <v/>
      </c>
      <c r="I36" s="19" t="n">
        <v>0</v>
      </c>
      <c r="J36" s="20">
        <f>F36*H36+I36</f>
        <v/>
      </c>
      <c r="K36" s="20">
        <f>J36*(1+'Paramètres'!$B$6)</f>
        <v/>
      </c>
      <c r="L36" s="21" t="n">
        <v>1</v>
      </c>
      <c r="M36" s="20">
        <f>J36*L36</f>
        <v/>
      </c>
    </row>
    <row r="37">
      <c r="A37" s="15" t="inlineStr">
        <is>
          <t>P29</t>
        </is>
      </c>
      <c r="B37" s="15" t="inlineStr">
        <is>
          <t>Vidéo (tournage &amp; montage)</t>
        </is>
      </c>
      <c r="C37" s="15" t="inlineStr">
        <is>
          <t>Montage vidéo témoignage client</t>
        </is>
      </c>
      <c r="D37" s="15" t="inlineStr">
        <is>
          <t>Monteur vidéo</t>
        </is>
      </c>
      <c r="E37" s="15" t="inlineStr">
        <is>
          <t>forfait</t>
        </is>
      </c>
      <c r="F37" s="16" t="n">
        <v>8</v>
      </c>
      <c r="G37" s="17">
        <f>F37/'Paramètres'!$B$5</f>
        <v/>
      </c>
      <c r="H37" s="18">
        <f>IFERROR(INDEX('Paramètres'!$B$11:$B$20,MATCH(D37,'Paramètres'!$A$11:$A$20,0)),0)</f>
        <v/>
      </c>
      <c r="I37" s="19" t="n">
        <v>0</v>
      </c>
      <c r="J37" s="20">
        <f>F37*H37+I37</f>
        <v/>
      </c>
      <c r="K37" s="20">
        <f>J37*(1+'Paramètres'!$B$6)</f>
        <v/>
      </c>
      <c r="L37" s="21" t="n">
        <v>0</v>
      </c>
      <c r="M37" s="20">
        <f>J37*L37</f>
        <v/>
      </c>
    </row>
    <row r="38">
      <c r="A38" s="15" t="inlineStr">
        <is>
          <t>P30</t>
        </is>
      </c>
      <c r="B38" s="15" t="inlineStr">
        <is>
          <t>Vidéo (tournage &amp; montage)</t>
        </is>
      </c>
      <c r="C38" s="15" t="inlineStr">
        <is>
          <t>Réel / short réseaux sociaux (≤ 60 s)</t>
        </is>
      </c>
      <c r="D38" s="15" t="inlineStr">
        <is>
          <t>Monteur vidéo</t>
        </is>
      </c>
      <c r="E38" s="15" t="inlineStr">
        <is>
          <t>forfait</t>
        </is>
      </c>
      <c r="F38" s="16" t="n">
        <v>3</v>
      </c>
      <c r="G38" s="17">
        <f>F38/'Paramètres'!$B$5</f>
        <v/>
      </c>
      <c r="H38" s="18">
        <f>IFERROR(INDEX('Paramètres'!$B$11:$B$20,MATCH(D38,'Paramètres'!$A$11:$A$20,0)),0)</f>
        <v/>
      </c>
      <c r="I38" s="19" t="n">
        <v>0</v>
      </c>
      <c r="J38" s="20">
        <f>F38*H38+I38</f>
        <v/>
      </c>
      <c r="K38" s="20">
        <f>J38*(1+'Paramètres'!$B$6)</f>
        <v/>
      </c>
      <c r="L38" s="21" t="n">
        <v>0</v>
      </c>
      <c r="M38" s="20">
        <f>J38*L38</f>
        <v/>
      </c>
    </row>
    <row r="39">
      <c r="A39" s="15" t="inlineStr">
        <is>
          <t>P31</t>
        </is>
      </c>
      <c r="B39" s="15" t="inlineStr">
        <is>
          <t>Vidéo (tournage &amp; montage)</t>
        </is>
      </c>
      <c r="C39" s="15" t="inlineStr">
        <is>
          <t>Motion design / animation 3D d'installation</t>
        </is>
      </c>
      <c r="D39" s="15" t="inlineStr">
        <is>
          <t>Graphiste 3D</t>
        </is>
      </c>
      <c r="E39" s="15" t="inlineStr">
        <is>
          <t>forfait</t>
        </is>
      </c>
      <c r="F39" s="16" t="n">
        <v>16</v>
      </c>
      <c r="G39" s="17">
        <f>F39/'Paramètres'!$B$5</f>
        <v/>
      </c>
      <c r="H39" s="18">
        <f>IFERROR(INDEX('Paramètres'!$B$11:$B$20,MATCH(D39,'Paramètres'!$A$11:$A$20,0)),0)</f>
        <v/>
      </c>
      <c r="I39" s="19" t="n">
        <v>0</v>
      </c>
      <c r="J39" s="20">
        <f>F39*H39+I39</f>
        <v/>
      </c>
      <c r="K39" s="20">
        <f>J39*(1+'Paramètres'!$B$6)</f>
        <v/>
      </c>
      <c r="L39" s="21" t="n">
        <v>0</v>
      </c>
      <c r="M39" s="20">
        <f>J39*L39</f>
        <v/>
      </c>
    </row>
    <row r="40">
      <c r="A40" s="15" t="inlineStr">
        <is>
          <t>P32</t>
        </is>
      </c>
      <c r="B40" s="15" t="inlineStr">
        <is>
          <t>Vidéo (tournage &amp; montage)</t>
        </is>
      </c>
      <c r="C40" s="15" t="inlineStr">
        <is>
          <t>Sous-titrage</t>
        </is>
      </c>
      <c r="D40" s="15" t="inlineStr">
        <is>
          <t>Monteur vidéo</t>
        </is>
      </c>
      <c r="E40" s="15" t="inlineStr">
        <is>
          <t>forfait</t>
        </is>
      </c>
      <c r="F40" s="16" t="n">
        <v>2</v>
      </c>
      <c r="G40" s="17">
        <f>F40/'Paramètres'!$B$5</f>
        <v/>
      </c>
      <c r="H40" s="18">
        <f>IFERROR(INDEX('Paramètres'!$B$11:$B$20,MATCH(D40,'Paramètres'!$A$11:$A$20,0)),0)</f>
        <v/>
      </c>
      <c r="I40" s="19" t="n">
        <v>0</v>
      </c>
      <c r="J40" s="20">
        <f>F40*H40+I40</f>
        <v/>
      </c>
      <c r="K40" s="20">
        <f>J40*(1+'Paramètres'!$B$6)</f>
        <v/>
      </c>
      <c r="L40" s="21" t="n">
        <v>0</v>
      </c>
      <c r="M40" s="20">
        <f>J40*L40</f>
        <v/>
      </c>
    </row>
    <row r="41">
      <c r="A41" s="15" t="inlineStr">
        <is>
          <t>P33</t>
        </is>
      </c>
      <c r="B41" s="15" t="inlineStr">
        <is>
          <t>Vidéo (tournage &amp; montage)</t>
        </is>
      </c>
      <c r="C41" s="15" t="inlineStr">
        <is>
          <t>Voix off professionnelle</t>
        </is>
      </c>
      <c r="D41" s="15" t="inlineStr">
        <is>
          <t>Monteur vidéo</t>
        </is>
      </c>
      <c r="E41" s="15" t="inlineStr">
        <is>
          <t>forfait</t>
        </is>
      </c>
      <c r="F41" s="16" t="n">
        <v>1</v>
      </c>
      <c r="G41" s="17">
        <f>F41/'Paramètres'!$B$5</f>
        <v/>
      </c>
      <c r="H41" s="18">
        <f>IFERROR(INDEX('Paramètres'!$B$11:$B$20,MATCH(D41,'Paramètres'!$A$11:$A$20,0)),0)</f>
        <v/>
      </c>
      <c r="I41" s="19" t="n">
        <v>150</v>
      </c>
      <c r="J41" s="20">
        <f>F41*H41+I41</f>
        <v/>
      </c>
      <c r="K41" s="20">
        <f>J41*(1+'Paramètres'!$B$6)</f>
        <v/>
      </c>
      <c r="L41" s="21" t="n">
        <v>0</v>
      </c>
      <c r="M41" s="20">
        <f>J41*L41</f>
        <v/>
      </c>
    </row>
    <row r="42">
      <c r="A42" s="15" t="inlineStr">
        <is>
          <t>P34</t>
        </is>
      </c>
      <c r="B42" s="15" t="inlineStr">
        <is>
          <t>Vidéo (tournage &amp; montage)</t>
        </is>
      </c>
      <c r="C42" s="15" t="inlineStr">
        <is>
          <t>Musique sous licence</t>
        </is>
      </c>
      <c r="D42" s="15" t="inlineStr">
        <is>
          <t>Monteur vidéo</t>
        </is>
      </c>
      <c r="E42" s="15" t="inlineStr">
        <is>
          <t>forfait</t>
        </is>
      </c>
      <c r="F42" s="16" t="n">
        <v>0</v>
      </c>
      <c r="G42" s="17">
        <f>F42/'Paramètres'!$B$5</f>
        <v/>
      </c>
      <c r="H42" s="18">
        <f>IFERROR(INDEX('Paramètres'!$B$11:$B$20,MATCH(D42,'Paramètres'!$A$11:$A$20,0)),0)</f>
        <v/>
      </c>
      <c r="I42" s="19" t="n">
        <v>50</v>
      </c>
      <c r="J42" s="20">
        <f>F42*H42+I42</f>
        <v/>
      </c>
      <c r="K42" s="20">
        <f>J42*(1+'Paramètres'!$B$6)</f>
        <v/>
      </c>
      <c r="L42" s="21" t="n">
        <v>0</v>
      </c>
      <c r="M42" s="20">
        <f>J42*L42</f>
        <v/>
      </c>
    </row>
    <row r="43">
      <c r="A43" s="13" t="inlineStr">
        <is>
          <t>Web &amp; hébergement</t>
        </is>
      </c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5" t="inlineStr">
        <is>
          <t>P35</t>
        </is>
      </c>
      <c r="B44" s="15" t="inlineStr">
        <is>
          <t>Web &amp; hébergement</t>
        </is>
      </c>
      <c r="C44" s="15" t="inlineStr">
        <is>
          <t>Site vitrine (5–7 pages)</t>
        </is>
      </c>
      <c r="D44" s="15" t="inlineStr">
        <is>
          <t>Développeur web</t>
        </is>
      </c>
      <c r="E44" s="15" t="inlineStr">
        <is>
          <t>forfait</t>
        </is>
      </c>
      <c r="F44" s="16" t="n">
        <v>40</v>
      </c>
      <c r="G44" s="17">
        <f>F44/'Paramètres'!$B$5</f>
        <v/>
      </c>
      <c r="H44" s="18">
        <f>IFERROR(INDEX('Paramètres'!$B$11:$B$20,MATCH(D44,'Paramètres'!$A$11:$A$20,0)),0)</f>
        <v/>
      </c>
      <c r="I44" s="19" t="n">
        <v>0</v>
      </c>
      <c r="J44" s="20">
        <f>F44*H44+I44</f>
        <v/>
      </c>
      <c r="K44" s="20">
        <f>J44*(1+'Paramètres'!$B$6)</f>
        <v/>
      </c>
      <c r="L44" s="21" t="n">
        <v>0</v>
      </c>
      <c r="M44" s="20">
        <f>J44*L44</f>
        <v/>
      </c>
    </row>
    <row r="45">
      <c r="A45" s="15" t="inlineStr">
        <is>
          <t>P36</t>
        </is>
      </c>
      <c r="B45" s="15" t="inlineStr">
        <is>
          <t>Web &amp; hébergement</t>
        </is>
      </c>
      <c r="C45" s="15" t="inlineStr">
        <is>
          <t>Landing page / page promo</t>
        </is>
      </c>
      <c r="D45" s="15" t="inlineStr">
        <is>
          <t>Développeur web</t>
        </is>
      </c>
      <c r="E45" s="15" t="inlineStr">
        <is>
          <t>forfait</t>
        </is>
      </c>
      <c r="F45" s="16" t="n">
        <v>12</v>
      </c>
      <c r="G45" s="17">
        <f>F45/'Paramètres'!$B$5</f>
        <v/>
      </c>
      <c r="H45" s="18">
        <f>IFERROR(INDEX('Paramètres'!$B$11:$B$20,MATCH(D45,'Paramètres'!$A$11:$A$20,0)),0)</f>
        <v/>
      </c>
      <c r="I45" s="19" t="n">
        <v>0</v>
      </c>
      <c r="J45" s="20">
        <f>F45*H45+I45</f>
        <v/>
      </c>
      <c r="K45" s="20">
        <f>J45*(1+'Paramètres'!$B$6)</f>
        <v/>
      </c>
      <c r="L45" s="21" t="n">
        <v>0</v>
      </c>
      <c r="M45" s="20">
        <f>J45*L45</f>
        <v/>
      </c>
    </row>
    <row r="46">
      <c r="A46" s="15" t="inlineStr">
        <is>
          <t>P37</t>
        </is>
      </c>
      <c r="B46" s="15" t="inlineStr">
        <is>
          <t>Web &amp; hébergement</t>
        </is>
      </c>
      <c r="C46" s="15" t="inlineStr">
        <is>
          <t>Rédaction d'une page web</t>
        </is>
      </c>
      <c r="D46" s="15" t="inlineStr">
        <is>
          <t>Rédacteur</t>
        </is>
      </c>
      <c r="E46" s="15" t="inlineStr">
        <is>
          <t>forfait</t>
        </is>
      </c>
      <c r="F46" s="16" t="n">
        <v>2</v>
      </c>
      <c r="G46" s="17">
        <f>F46/'Paramètres'!$B$5</f>
        <v/>
      </c>
      <c r="H46" s="18">
        <f>IFERROR(INDEX('Paramètres'!$B$11:$B$20,MATCH(D46,'Paramètres'!$A$11:$A$20,0)),0)</f>
        <v/>
      </c>
      <c r="I46" s="19" t="n">
        <v>0</v>
      </c>
      <c r="J46" s="20">
        <f>F46*H46+I46</f>
        <v/>
      </c>
      <c r="K46" s="20">
        <f>J46*(1+'Paramètres'!$B$6)</f>
        <v/>
      </c>
      <c r="L46" s="21" t="n">
        <v>0</v>
      </c>
      <c r="M46" s="20">
        <f>J46*L46</f>
        <v/>
      </c>
    </row>
    <row r="47">
      <c r="A47" s="15" t="inlineStr">
        <is>
          <t>P38</t>
        </is>
      </c>
      <c r="B47" s="15" t="inlineStr">
        <is>
          <t>Web &amp; hébergement</t>
        </is>
      </c>
      <c r="C47" s="15" t="inlineStr">
        <is>
          <t>Audit &amp; optimisation SEO</t>
        </is>
      </c>
      <c r="D47" s="15" t="inlineStr">
        <is>
          <t>Développeur web</t>
        </is>
      </c>
      <c r="E47" s="15" t="inlineStr">
        <is>
          <t>forfait</t>
        </is>
      </c>
      <c r="F47" s="16" t="n">
        <v>8</v>
      </c>
      <c r="G47" s="17">
        <f>F47/'Paramètres'!$B$5</f>
        <v/>
      </c>
      <c r="H47" s="18">
        <f>IFERROR(INDEX('Paramètres'!$B$11:$B$20,MATCH(D47,'Paramètres'!$A$11:$A$20,0)),0)</f>
        <v/>
      </c>
      <c r="I47" s="19" t="n">
        <v>0</v>
      </c>
      <c r="J47" s="20">
        <f>F47*H47+I47</f>
        <v/>
      </c>
      <c r="K47" s="20">
        <f>J47*(1+'Paramètres'!$B$6)</f>
        <v/>
      </c>
      <c r="L47" s="21" t="n">
        <v>0</v>
      </c>
      <c r="M47" s="20">
        <f>J47*L47</f>
        <v/>
      </c>
    </row>
    <row r="48">
      <c r="A48" s="15" t="inlineStr">
        <is>
          <t>P39</t>
        </is>
      </c>
      <c r="B48" s="15" t="inlineStr">
        <is>
          <t>Web &amp; hébergement</t>
        </is>
      </c>
      <c r="C48" s="15" t="inlineStr">
        <is>
          <t>Maintenance &amp; mises à jour</t>
        </is>
      </c>
      <c r="D48" s="15" t="inlineStr">
        <is>
          <t>Développeur web</t>
        </is>
      </c>
      <c r="E48" s="15" t="inlineStr">
        <is>
          <t>mois</t>
        </is>
      </c>
      <c r="F48" s="16" t="n">
        <v>2</v>
      </c>
      <c r="G48" s="17">
        <f>F48/'Paramètres'!$B$5</f>
        <v/>
      </c>
      <c r="H48" s="18">
        <f>IFERROR(INDEX('Paramètres'!$B$11:$B$20,MATCH(D48,'Paramètres'!$A$11:$A$20,0)),0)</f>
        <v/>
      </c>
      <c r="I48" s="19" t="n">
        <v>0</v>
      </c>
      <c r="J48" s="20">
        <f>F48*H48+I48</f>
        <v/>
      </c>
      <c r="K48" s="20">
        <f>J48*(1+'Paramètres'!$B$6)</f>
        <v/>
      </c>
      <c r="L48" s="21" t="n">
        <v>0</v>
      </c>
      <c r="M48" s="20">
        <f>J48*L48</f>
        <v/>
      </c>
    </row>
    <row r="49">
      <c r="A49" s="15" t="inlineStr">
        <is>
          <t>P40</t>
        </is>
      </c>
      <c r="B49" s="15" t="inlineStr">
        <is>
          <t>Web &amp; hébergement</t>
        </is>
      </c>
      <c r="C49" s="15" t="inlineStr">
        <is>
          <t>Hébergement web</t>
        </is>
      </c>
      <c r="D49" s="15" t="inlineStr">
        <is>
          <t>Développeur web</t>
        </is>
      </c>
      <c r="E49" s="15" t="inlineStr">
        <is>
          <t>an</t>
        </is>
      </c>
      <c r="F49" s="16" t="n">
        <v>0</v>
      </c>
      <c r="G49" s="17">
        <f>F49/'Paramètres'!$B$5</f>
        <v/>
      </c>
      <c r="H49" s="18">
        <f>IFERROR(INDEX('Paramètres'!$B$11:$B$20,MATCH(D49,'Paramètres'!$A$11:$A$20,0)),0)</f>
        <v/>
      </c>
      <c r="I49" s="19" t="n">
        <v>180</v>
      </c>
      <c r="J49" s="20">
        <f>F49*H49+I49</f>
        <v/>
      </c>
      <c r="K49" s="20">
        <f>J49*(1+'Paramètres'!$B$6)</f>
        <v/>
      </c>
      <c r="L49" s="21" t="n">
        <v>0</v>
      </c>
      <c r="M49" s="20">
        <f>J49*L49</f>
        <v/>
      </c>
    </row>
    <row r="50">
      <c r="A50" s="15" t="inlineStr">
        <is>
          <t>P41</t>
        </is>
      </c>
      <c r="B50" s="15" t="inlineStr">
        <is>
          <t>Web &amp; hébergement</t>
        </is>
      </c>
      <c r="C50" s="15" t="inlineStr">
        <is>
          <t>Nom de domaine</t>
        </is>
      </c>
      <c r="D50" s="15" t="inlineStr">
        <is>
          <t>Développeur web</t>
        </is>
      </c>
      <c r="E50" s="15" t="inlineStr">
        <is>
          <t>an</t>
        </is>
      </c>
      <c r="F50" s="16" t="n">
        <v>0</v>
      </c>
      <c r="G50" s="17">
        <f>F50/'Paramètres'!$B$5</f>
        <v/>
      </c>
      <c r="H50" s="18">
        <f>IFERROR(INDEX('Paramètres'!$B$11:$B$20,MATCH(D50,'Paramètres'!$A$11:$A$20,0)),0)</f>
        <v/>
      </c>
      <c r="I50" s="19" t="n">
        <v>25</v>
      </c>
      <c r="J50" s="20">
        <f>F50*H50+I50</f>
        <v/>
      </c>
      <c r="K50" s="20">
        <f>J50*(1+'Paramètres'!$B$6)</f>
        <v/>
      </c>
      <c r="L50" s="21" t="n">
        <v>0</v>
      </c>
      <c r="M50" s="20">
        <f>J50*L50</f>
        <v/>
      </c>
    </row>
    <row r="51">
      <c r="A51" s="15" t="inlineStr">
        <is>
          <t>P42</t>
        </is>
      </c>
      <c r="B51" s="15" t="inlineStr">
        <is>
          <t>Web &amp; hébergement</t>
        </is>
      </c>
      <c r="C51" s="15" t="inlineStr">
        <is>
          <t>Adresses e-mail professionnelles</t>
        </is>
      </c>
      <c r="D51" s="15" t="inlineStr">
        <is>
          <t>Développeur web</t>
        </is>
      </c>
      <c r="E51" s="15" t="inlineStr">
        <is>
          <t>an</t>
        </is>
      </c>
      <c r="F51" s="16" t="n">
        <v>0</v>
      </c>
      <c r="G51" s="17">
        <f>F51/'Paramètres'!$B$5</f>
        <v/>
      </c>
      <c r="H51" s="18">
        <f>IFERROR(INDEX('Paramètres'!$B$11:$B$20,MATCH(D51,'Paramètres'!$A$11:$A$20,0)),0)</f>
        <v/>
      </c>
      <c r="I51" s="19" t="n">
        <v>60</v>
      </c>
      <c r="J51" s="20">
        <f>F51*H51+I51</f>
        <v/>
      </c>
      <c r="K51" s="20">
        <f>J51*(1+'Paramètres'!$B$6)</f>
        <v/>
      </c>
      <c r="L51" s="21" t="n">
        <v>0</v>
      </c>
      <c r="M51" s="20">
        <f>J51*L51</f>
        <v/>
      </c>
    </row>
    <row r="52">
      <c r="A52" s="13" t="inlineStr">
        <is>
          <t>Réseaux sociaux &amp; marketing</t>
        </is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</row>
    <row r="53">
      <c r="A53" s="15" t="inlineStr">
        <is>
          <t>P43</t>
        </is>
      </c>
      <c r="B53" s="15" t="inlineStr">
        <is>
          <t>Réseaux sociaux &amp; marketing</t>
        </is>
      </c>
      <c r="C53" s="15" t="inlineStr">
        <is>
          <t>Gestion réseaux sociaux (8 posts / mois)</t>
        </is>
      </c>
      <c r="D53" s="15" t="inlineStr">
        <is>
          <t>Community manager</t>
        </is>
      </c>
      <c r="E53" s="15" t="inlineStr">
        <is>
          <t>mois</t>
        </is>
      </c>
      <c r="F53" s="16" t="n">
        <v>16</v>
      </c>
      <c r="G53" s="17">
        <f>F53/'Paramètres'!$B$5</f>
        <v/>
      </c>
      <c r="H53" s="18">
        <f>IFERROR(INDEX('Paramètres'!$B$11:$B$20,MATCH(D53,'Paramètres'!$A$11:$A$20,0)),0)</f>
        <v/>
      </c>
      <c r="I53" s="19" t="n">
        <v>0</v>
      </c>
      <c r="J53" s="20">
        <f>F53*H53+I53</f>
        <v/>
      </c>
      <c r="K53" s="20">
        <f>J53*(1+'Paramètres'!$B$6)</f>
        <v/>
      </c>
      <c r="L53" s="21" t="n">
        <v>0</v>
      </c>
      <c r="M53" s="20">
        <f>J53*L53</f>
        <v/>
      </c>
    </row>
    <row r="54">
      <c r="A54" s="15" t="inlineStr">
        <is>
          <t>P44</t>
        </is>
      </c>
      <c r="B54" s="15" t="inlineStr">
        <is>
          <t>Réseaux sociaux &amp; marketing</t>
        </is>
      </c>
      <c r="C54" s="15" t="inlineStr">
        <is>
          <t>Création d'une publication</t>
        </is>
      </c>
      <c r="D54" s="15" t="inlineStr">
        <is>
          <t>Community manager</t>
        </is>
      </c>
      <c r="E54" s="15" t="inlineStr">
        <is>
          <t>forfait</t>
        </is>
      </c>
      <c r="F54" s="16" t="n">
        <v>1</v>
      </c>
      <c r="G54" s="17">
        <f>F54/'Paramètres'!$B$5</f>
        <v/>
      </c>
      <c r="H54" s="18">
        <f>IFERROR(INDEX('Paramètres'!$B$11:$B$20,MATCH(D54,'Paramètres'!$A$11:$A$20,0)),0)</f>
        <v/>
      </c>
      <c r="I54" s="19" t="n">
        <v>0</v>
      </c>
      <c r="J54" s="20">
        <f>F54*H54+I54</f>
        <v/>
      </c>
      <c r="K54" s="20">
        <f>J54*(1+'Paramètres'!$B$6)</f>
        <v/>
      </c>
      <c r="L54" s="21" t="n">
        <v>0</v>
      </c>
      <c r="M54" s="20">
        <f>J54*L54</f>
        <v/>
      </c>
    </row>
    <row r="55">
      <c r="A55" s="15" t="inlineStr">
        <is>
          <t>P45</t>
        </is>
      </c>
      <c r="B55" s="15" t="inlineStr">
        <is>
          <t>Réseaux sociaux &amp; marketing</t>
        </is>
      </c>
      <c r="C55" s="15" t="inlineStr">
        <is>
          <t>Mise en place campagne pub Meta / Google</t>
        </is>
      </c>
      <c r="D55" s="15" t="inlineStr">
        <is>
          <t>Community manager</t>
        </is>
      </c>
      <c r="E55" s="15" t="inlineStr">
        <is>
          <t>forfait</t>
        </is>
      </c>
      <c r="F55" s="16" t="n">
        <v>6</v>
      </c>
      <c r="G55" s="17">
        <f>F55/'Paramètres'!$B$5</f>
        <v/>
      </c>
      <c r="H55" s="18">
        <f>IFERROR(INDEX('Paramètres'!$B$11:$B$20,MATCH(D55,'Paramètres'!$A$11:$A$20,0)),0)</f>
        <v/>
      </c>
      <c r="I55" s="19" t="n">
        <v>0</v>
      </c>
      <c r="J55" s="20">
        <f>F55*H55+I55</f>
        <v/>
      </c>
      <c r="K55" s="20">
        <f>J55*(1+'Paramètres'!$B$6)</f>
        <v/>
      </c>
      <c r="L55" s="21" t="n">
        <v>0</v>
      </c>
      <c r="M55" s="20">
        <f>J55*L55</f>
        <v/>
      </c>
    </row>
    <row r="56">
      <c r="A56" s="15" t="inlineStr">
        <is>
          <t>P46</t>
        </is>
      </c>
      <c r="B56" s="15" t="inlineStr">
        <is>
          <t>Réseaux sociaux &amp; marketing</t>
        </is>
      </c>
      <c r="C56" s="15" t="inlineStr">
        <is>
          <t>Gestion campagne publicitaire (hors budget pub)</t>
        </is>
      </c>
      <c r="D56" s="15" t="inlineStr">
        <is>
          <t>Community manager</t>
        </is>
      </c>
      <c r="E56" s="15" t="inlineStr">
        <is>
          <t>mois</t>
        </is>
      </c>
      <c r="F56" s="16" t="n">
        <v>4</v>
      </c>
      <c r="G56" s="17">
        <f>F56/'Paramètres'!$B$5</f>
        <v/>
      </c>
      <c r="H56" s="18">
        <f>IFERROR(INDEX('Paramètres'!$B$11:$B$20,MATCH(D56,'Paramètres'!$A$11:$A$20,0)),0)</f>
        <v/>
      </c>
      <c r="I56" s="19" t="n">
        <v>0</v>
      </c>
      <c r="J56" s="20">
        <f>F56*H56+I56</f>
        <v/>
      </c>
      <c r="K56" s="20">
        <f>J56*(1+'Paramètres'!$B$6)</f>
        <v/>
      </c>
      <c r="L56" s="21" t="n">
        <v>0</v>
      </c>
      <c r="M56" s="20">
        <f>J56*L56</f>
        <v/>
      </c>
    </row>
    <row r="57">
      <c r="A57" s="15" t="inlineStr">
        <is>
          <t>P47</t>
        </is>
      </c>
      <c r="B57" s="15" t="inlineStr">
        <is>
          <t>Réseaux sociaux &amp; marketing</t>
        </is>
      </c>
      <c r="C57" s="15" t="inlineStr">
        <is>
          <t>Newsletter / e-mailing</t>
        </is>
      </c>
      <c r="D57" s="15" t="inlineStr">
        <is>
          <t>Community manager</t>
        </is>
      </c>
      <c r="E57" s="15" t="inlineStr">
        <is>
          <t>forfait</t>
        </is>
      </c>
      <c r="F57" s="16" t="n">
        <v>4</v>
      </c>
      <c r="G57" s="17">
        <f>F57/'Paramètres'!$B$5</f>
        <v/>
      </c>
      <c r="H57" s="18">
        <f>IFERROR(INDEX('Paramètres'!$B$11:$B$20,MATCH(D57,'Paramètres'!$A$11:$A$20,0)),0)</f>
        <v/>
      </c>
      <c r="I57" s="19" t="n">
        <v>0</v>
      </c>
      <c r="J57" s="20">
        <f>F57*H57+I57</f>
        <v/>
      </c>
      <c r="K57" s="20">
        <f>J57*(1+'Paramètres'!$B$6)</f>
        <v/>
      </c>
      <c r="L57" s="21" t="n">
        <v>0</v>
      </c>
      <c r="M57" s="20">
        <f>J57*L57</f>
        <v/>
      </c>
    </row>
    <row r="58">
      <c r="A58" s="15" t="inlineStr">
        <is>
          <t>P48</t>
        </is>
      </c>
      <c r="B58" s="15" t="inlineStr">
        <is>
          <t>Réseaux sociaux &amp; marketing</t>
        </is>
      </c>
      <c r="C58" s="15" t="inlineStr">
        <is>
          <t>Article de blog / communiqué de presse</t>
        </is>
      </c>
      <c r="D58" s="15" t="inlineStr">
        <is>
          <t>Rédacteur</t>
        </is>
      </c>
      <c r="E58" s="15" t="inlineStr">
        <is>
          <t>forfait</t>
        </is>
      </c>
      <c r="F58" s="16" t="n">
        <v>3</v>
      </c>
      <c r="G58" s="17">
        <f>F58/'Paramètres'!$B$5</f>
        <v/>
      </c>
      <c r="H58" s="18">
        <f>IFERROR(INDEX('Paramètres'!$B$11:$B$20,MATCH(D58,'Paramètres'!$A$11:$A$20,0)),0)</f>
        <v/>
      </c>
      <c r="I58" s="19" t="n">
        <v>0</v>
      </c>
      <c r="J58" s="20">
        <f>F58*H58+I58</f>
        <v/>
      </c>
      <c r="K58" s="20">
        <f>J58*(1+'Paramètres'!$B$6)</f>
        <v/>
      </c>
      <c r="L58" s="21" t="n">
        <v>0</v>
      </c>
      <c r="M58" s="20">
        <f>J58*L58</f>
        <v/>
      </c>
    </row>
    <row r="60">
      <c r="K60" s="11" t="inlineStr">
        <is>
          <t>Exemple de devis (Qté) :</t>
        </is>
      </c>
    </row>
    <row r="61">
      <c r="K61" s="3" t="inlineStr">
        <is>
          <t>Sous-total HT</t>
        </is>
      </c>
      <c r="M61" s="10">
        <f>SUM(M5:M58)</f>
        <v/>
      </c>
    </row>
    <row r="62">
      <c r="K62" s="3" t="inlineStr">
        <is>
          <t>Remise</t>
        </is>
      </c>
      <c r="M62" s="10">
        <f>-M61*'Paramètres'!$B$7</f>
        <v/>
      </c>
    </row>
    <row r="63">
      <c r="K63" s="3" t="inlineStr">
        <is>
          <t>Total HT après remise</t>
        </is>
      </c>
      <c r="M63" s="10">
        <f>M61+M62</f>
        <v/>
      </c>
    </row>
    <row r="64">
      <c r="K64" s="3" t="inlineStr">
        <is>
          <t>TVA</t>
        </is>
      </c>
      <c r="M64" s="10">
        <f>M63*'Paramètres'!$B$6</f>
        <v/>
      </c>
    </row>
    <row r="65">
      <c r="K65" s="3" t="inlineStr">
        <is>
          <t>Total TVAC</t>
        </is>
      </c>
      <c r="M65" s="22">
        <f>M63+M64</f>
        <v/>
      </c>
    </row>
    <row r="66">
      <c r="K66" s="3" t="inlineStr">
        <is>
          <t>Temps total (heures)</t>
        </is>
      </c>
      <c r="M66" s="23">
        <f>SUMPRODUCT(F5:F58,L5:L58)</f>
        <v/>
      </c>
    </row>
    <row r="67">
      <c r="K67" s="3" t="inlineStr">
        <is>
          <t>Temps total (jours)</t>
        </is>
      </c>
      <c r="M67" s="23">
        <f>M66/'Paramètres'!$B$5</f>
        <v/>
      </c>
    </row>
    <row r="69">
      <c r="A69" s="11" t="inlineStr">
        <is>
          <t>Prix indicatifs HT hors impression, hors budget publicitaire, frais de déplacement hors Belgique en supplément. Prix unitaire = Durée (h) × Taux horaire du profil + Frais/matériel.</t>
        </is>
      </c>
    </row>
  </sheetData>
  <autoFilter ref="A4:M58"/>
  <dataValidations count="1">
    <dataValidation sqref="D5:D58" showDropDown="0" showInputMessage="0" showErrorMessage="0" allowBlank="1" type="list">
      <formula1>='Paramètres'!$A$11:$A$20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Récapitulatif du devis par catégorie</t>
        </is>
      </c>
    </row>
    <row r="3">
      <c r="A3" s="7" t="inlineStr">
        <is>
          <t>Catégorie</t>
        </is>
      </c>
      <c r="B3" s="7" t="inlineStr">
        <is>
          <t>Heures</t>
        </is>
      </c>
      <c r="C3" s="7" t="inlineStr">
        <is>
          <t>Jours</t>
        </is>
      </c>
      <c r="D3" s="7" t="inlineStr">
        <is>
          <t>Total HT</t>
        </is>
      </c>
      <c r="E3" s="7" t="inlineStr">
        <is>
          <t>Total TVAC</t>
        </is>
      </c>
    </row>
    <row r="4">
      <c r="A4" s="8" t="inlineStr">
        <is>
          <t>Stratégie &amp; gestion de projet</t>
        </is>
      </c>
      <c r="B4" s="24">
        <f>SUMPRODUCT(('Grille tarifaire'!$B$5:$B$58=A4)*'Grille tarifaire'!$F$5:$F$58*'Grille tarifaire'!$L$5:$L$58)</f>
        <v/>
      </c>
      <c r="C4" s="23">
        <f>B4/'Paramètres'!$B$5</f>
        <v/>
      </c>
      <c r="D4" s="18">
        <f>SUMIFS('Grille tarifaire'!$M$5:$M$58,'Grille tarifaire'!$B$5:$B$58,A4)</f>
        <v/>
      </c>
      <c r="E4" s="10">
        <f>D4*(1+'Paramètres'!$B$6)</f>
        <v/>
      </c>
    </row>
    <row r="5">
      <c r="A5" s="8" t="inlineStr">
        <is>
          <t>Graphisme &amp; print</t>
        </is>
      </c>
      <c r="B5" s="24">
        <f>SUMPRODUCT(('Grille tarifaire'!$B$5:$B$58=A5)*'Grille tarifaire'!$F$5:$F$58*'Grille tarifaire'!$L$5:$L$58)</f>
        <v/>
      </c>
      <c r="C5" s="23">
        <f>B5/'Paramètres'!$B$5</f>
        <v/>
      </c>
      <c r="D5" s="18">
        <f>SUMIFS('Grille tarifaire'!$M$5:$M$58,'Grille tarifaire'!$B$5:$B$58,A5)</f>
        <v/>
      </c>
      <c r="E5" s="10">
        <f>D5*(1+'Paramètres'!$B$6)</f>
        <v/>
      </c>
    </row>
    <row r="6">
      <c r="A6" s="8" t="inlineStr">
        <is>
          <t>Photo (shooting)</t>
        </is>
      </c>
      <c r="B6" s="24">
        <f>SUMPRODUCT(('Grille tarifaire'!$B$5:$B$58=A6)*'Grille tarifaire'!$F$5:$F$58*'Grille tarifaire'!$L$5:$L$58)</f>
        <v/>
      </c>
      <c r="C6" s="23">
        <f>B6/'Paramètres'!$B$5</f>
        <v/>
      </c>
      <c r="D6" s="18">
        <f>SUMIFS('Grille tarifaire'!$M$5:$M$58,'Grille tarifaire'!$B$5:$B$58,A6)</f>
        <v/>
      </c>
      <c r="E6" s="10">
        <f>D6*(1+'Paramètres'!$B$6)</f>
        <v/>
      </c>
    </row>
    <row r="7">
      <c r="A7" s="8" t="inlineStr">
        <is>
          <t>Vidéo (tournage &amp; montage)</t>
        </is>
      </c>
      <c r="B7" s="24">
        <f>SUMPRODUCT(('Grille tarifaire'!$B$5:$B$58=A7)*'Grille tarifaire'!$F$5:$F$58*'Grille tarifaire'!$L$5:$L$58)</f>
        <v/>
      </c>
      <c r="C7" s="23">
        <f>B7/'Paramètres'!$B$5</f>
        <v/>
      </c>
      <c r="D7" s="18">
        <f>SUMIFS('Grille tarifaire'!$M$5:$M$58,'Grille tarifaire'!$B$5:$B$58,A7)</f>
        <v/>
      </c>
      <c r="E7" s="10">
        <f>D7*(1+'Paramètres'!$B$6)</f>
        <v/>
      </c>
    </row>
    <row r="8">
      <c r="A8" s="8" t="inlineStr">
        <is>
          <t>Web &amp; hébergement</t>
        </is>
      </c>
      <c r="B8" s="24">
        <f>SUMPRODUCT(('Grille tarifaire'!$B$5:$B$58=A8)*'Grille tarifaire'!$F$5:$F$58*'Grille tarifaire'!$L$5:$L$58)</f>
        <v/>
      </c>
      <c r="C8" s="23">
        <f>B8/'Paramètres'!$B$5</f>
        <v/>
      </c>
      <c r="D8" s="18">
        <f>SUMIFS('Grille tarifaire'!$M$5:$M$58,'Grille tarifaire'!$B$5:$B$58,A8)</f>
        <v/>
      </c>
      <c r="E8" s="10">
        <f>D8*(1+'Paramètres'!$B$6)</f>
        <v/>
      </c>
    </row>
    <row r="9">
      <c r="A9" s="8" t="inlineStr">
        <is>
          <t>Réseaux sociaux &amp; marketing</t>
        </is>
      </c>
      <c r="B9" s="24">
        <f>SUMPRODUCT(('Grille tarifaire'!$B$5:$B$58=A9)*'Grille tarifaire'!$F$5:$F$58*'Grille tarifaire'!$L$5:$L$58)</f>
        <v/>
      </c>
      <c r="C9" s="23">
        <f>B9/'Paramètres'!$B$5</f>
        <v/>
      </c>
      <c r="D9" s="18">
        <f>SUMIFS('Grille tarifaire'!$M$5:$M$58,'Grille tarifaire'!$B$5:$B$58,A9)</f>
        <v/>
      </c>
      <c r="E9" s="10">
        <f>D9*(1+'Paramètres'!$B$6)</f>
        <v/>
      </c>
    </row>
    <row r="10">
      <c r="A10" s="3" t="inlineStr">
        <is>
          <t>Total (avant remise)</t>
        </is>
      </c>
      <c r="B10" s="25">
        <f>SUM(B4:B9)</f>
        <v/>
      </c>
      <c r="C10" s="25">
        <f>SUM(C4:C9)</f>
        <v/>
      </c>
      <c r="D10" s="26">
        <f>SUM(D4:D9)</f>
        <v/>
      </c>
      <c r="E10" s="26">
        <f>SUM(E4:E9)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2026-09-23T21:34:45Z</dcterms:created>
  <dcterms:modified xsi:type="dcterms:W3CDTF">2026-09-23T21:34:45Z</dcterms:modified>
</cp:coreProperties>
</file>