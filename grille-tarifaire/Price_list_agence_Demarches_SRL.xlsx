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Paramètres" sheetId="2" state="visible" r:id="rId2"/>
  </sheets>
  <definedNames>
    <definedName name="_xlnm.Print_Titles" localSheetId="0">'Price list'!$28:$28</definedName>
    <definedName name="_xlnm.Print_Area" localSheetId="0">'Price list'!$A$1:$I$144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#,##0 €"/>
    <numFmt numFmtId="167" formatCode="0.##"/>
    <numFmt numFmtId="168" formatCode="0.0#"/>
    <numFmt numFmtId="169" formatCode="#,##0 €;-#,##0 €;&quot;sur devis&quot;"/>
    <numFmt numFmtId="170" formatCode="#,##0.00 €;-#,##0.00 €;&quot;sur devis&quot;"/>
  </numFmts>
  <fonts count="26">
    <font>
      <name val="Calibri"/>
      <family val="2"/>
      <color theme="1"/>
      <sz val="11"/>
      <scheme val="minor"/>
    </font>
    <font>
      <name val="Arial"/>
      <b val="1"/>
      <color rgb="001E1E24"/>
      <sz val="14"/>
    </font>
    <font>
      <name val="Arial"/>
      <i val="1"/>
      <color rgb="008A8A8A"/>
    </font>
    <font>
      <name val="Arial"/>
      <color rgb="001E1E24"/>
    </font>
    <font>
      <name val="Arial"/>
      <color rgb="000000FF"/>
    </font>
    <font>
      <name val="Arial"/>
      <i val="1"/>
      <color rgb="008A8A8A"/>
      <sz val="9"/>
    </font>
    <font>
      <name val="Arial"/>
      <b val="1"/>
      <color rgb="001E1E24"/>
      <sz val="11"/>
    </font>
    <font>
      <name val="Arial"/>
      <b val="1"/>
      <color rgb="00FFFFFF"/>
    </font>
    <font>
      <name val="Arial"/>
      <b val="1"/>
      <color rgb="00FFFFFF"/>
      <sz val="20"/>
    </font>
    <font>
      <name val="Arial"/>
      <b val="1"/>
      <color rgb="00B08D57"/>
      <sz val="11"/>
    </font>
    <font>
      <name val="Arial"/>
      <color rgb="00CFCFCF"/>
      <sz val="9"/>
    </font>
    <font>
      <name val="Arial"/>
      <b val="1"/>
      <color rgb="008A8A8A"/>
      <sz val="8"/>
    </font>
    <font>
      <name val="Arial"/>
      <b val="1"/>
      <color rgb="001E1E24"/>
      <sz val="12"/>
    </font>
    <font>
      <name val="Arial"/>
      <b val="1"/>
      <color rgb="00FFFFFF"/>
      <sz val="9"/>
    </font>
    <font>
      <name val="Arial"/>
      <color rgb="001E1E24"/>
      <sz val="10"/>
    </font>
    <font>
      <name val="Arial"/>
      <b val="1"/>
      <color rgb="001E1E24"/>
      <sz val="10"/>
    </font>
    <font>
      <name val="Arial"/>
      <b val="1"/>
      <color rgb="008A8A8A"/>
      <sz val="9"/>
    </font>
    <font>
      <name val="Arial"/>
      <color rgb="008A8A8A"/>
      <sz val="9"/>
    </font>
    <font>
      <name val="Arial"/>
      <color rgb="00555555"/>
      <sz val="9"/>
    </font>
    <font>
      <name val="Arial"/>
      <color rgb="001E1E24"/>
      <sz val="9"/>
    </font>
    <font>
      <name val="Arial"/>
      <color rgb="000000FF"/>
      <sz val="10"/>
    </font>
    <font>
      <name val="Arial"/>
      <color rgb="00555555"/>
      <sz val="10"/>
    </font>
    <font>
      <name val="Arial"/>
      <color rgb="000000FF"/>
      <sz val="9"/>
    </font>
    <font>
      <name val="Arial"/>
      <color rgb="00008000"/>
      <sz val="9"/>
    </font>
    <font>
      <name val="Arial"/>
      <b val="1"/>
      <color rgb="00B08D57"/>
    </font>
    <font>
      <name val="Arial"/>
      <color rgb="008A8A8A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E1E24"/>
      </patternFill>
    </fill>
    <fill>
      <patternFill patternType="solid">
        <fgColor rgb="00FAF8F4"/>
      </patternFill>
    </fill>
    <fill>
      <patternFill patternType="solid">
        <fgColor rgb="00F4EFE6"/>
      </patternFill>
    </fill>
  </fills>
  <borders count="5">
    <border>
      <left/>
      <right/>
      <top/>
      <bottom/>
      <diagonal/>
    </border>
    <border>
      <bottom style="thin">
        <color rgb="00E3DCCF"/>
      </bottom>
    </border>
    <border>
      <top style="medium">
        <color rgb="00B08D57"/>
      </top>
    </border>
    <border>
      <bottom style="thin">
        <color rgb="00B08D57"/>
      </bottom>
    </border>
    <border>
      <bottom style="medium">
        <color rgb="00B08D57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8" fillId="3" borderId="0" applyAlignment="1" pivotButton="0" quotePrefix="0" xfId="0">
      <alignment vertical="bottom" indent="1"/>
    </xf>
    <xf numFmtId="0" fontId="9" fillId="3" borderId="0" applyAlignment="1" pivotButton="0" quotePrefix="0" xfId="0">
      <alignment indent="1"/>
    </xf>
    <xf numFmtId="0" fontId="10" fillId="3" borderId="0" applyAlignment="1" pivotButton="0" quotePrefix="0" xfId="0">
      <alignment vertical="top" indent="1"/>
    </xf>
    <xf numFmtId="0" fontId="0" fillId="3" borderId="0" pivotButton="0" quotePrefix="0" xfId="0"/>
    <xf numFmtId="0" fontId="0" fillId="0" borderId="2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165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5" fillId="0" borderId="0" pivotButton="0" quotePrefix="0" xfId="0"/>
    <xf numFmtId="0" fontId="13" fillId="3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1"/>
    </xf>
    <xf numFmtId="0" fontId="14" fillId="0" borderId="1" pivotButton="0" quotePrefix="0" xfId="0"/>
    <xf numFmtId="166" fontId="14" fillId="0" borderId="1" applyAlignment="1" pivotButton="0" quotePrefix="0" xfId="0">
      <alignment horizontal="right" vertical="center" indent="1"/>
    </xf>
    <xf numFmtId="166" fontId="15" fillId="0" borderId="1" applyAlignment="1" pivotButton="0" quotePrefix="0" xfId="0">
      <alignment horizontal="right" vertical="center" indent="1"/>
    </xf>
    <xf numFmtId="0" fontId="14" fillId="4" borderId="1" applyAlignment="1" pivotButton="0" quotePrefix="0" xfId="0">
      <alignment horizontal="left" vertical="center" wrapText="1" indent="1"/>
    </xf>
    <xf numFmtId="0" fontId="14" fillId="4" borderId="1" pivotButton="0" quotePrefix="0" xfId="0"/>
    <xf numFmtId="166" fontId="14" fillId="4" borderId="1" applyAlignment="1" pivotButton="0" quotePrefix="0" xfId="0">
      <alignment horizontal="right" vertical="center" indent="1"/>
    </xf>
    <xf numFmtId="166" fontId="15" fillId="4" borderId="1" applyAlignment="1" pivotButton="0" quotePrefix="0" xfId="0">
      <alignment horizontal="right" vertical="center" indent="1"/>
    </xf>
    <xf numFmtId="0" fontId="16" fillId="0" borderId="0" pivotButton="0" quotePrefix="0" xfId="0"/>
    <xf numFmtId="0" fontId="9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vertical="center" indent="1"/>
    </xf>
    <xf numFmtId="0" fontId="0" fillId="5" borderId="3" pivotButton="0" quotePrefix="0" xfId="0"/>
    <xf numFmtId="0" fontId="1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 indent="1"/>
    </xf>
    <xf numFmtId="0" fontId="18" fillId="0" borderId="1" applyAlignment="1" pivotButton="0" quotePrefix="0" xfId="0">
      <alignment horizontal="left" vertical="center" wrapText="1" indent="1"/>
    </xf>
    <xf numFmtId="0" fontId="19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168" fontId="14" fillId="0" borderId="1" applyAlignment="1" pivotButton="0" quotePrefix="0" xfId="0">
      <alignment horizontal="center" vertical="center" wrapText="1"/>
    </xf>
    <xf numFmtId="169" fontId="15" fillId="0" borderId="1" applyAlignment="1" pivotButton="0" quotePrefix="0" xfId="0">
      <alignment horizontal="right" vertical="center" indent="1"/>
    </xf>
    <xf numFmtId="170" fontId="21" fillId="0" borderId="1" applyAlignment="1" pivotButton="0" quotePrefix="0" xfId="0">
      <alignment horizontal="right" vertical="center" indent="1"/>
    </xf>
    <xf numFmtId="0" fontId="22" fillId="0" borderId="0" pivotButton="0" quotePrefix="0" xfId="0"/>
    <xf numFmtId="166" fontId="22" fillId="0" borderId="0" pivotButton="0" quotePrefix="0" xfId="0"/>
    <xf numFmtId="166" fontId="23" fillId="0" borderId="0" pivotButton="0" quotePrefix="0" xfId="0"/>
    <xf numFmtId="0" fontId="17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 indent="1"/>
    </xf>
    <xf numFmtId="0" fontId="18" fillId="4" borderId="1" applyAlignment="1" pivotButton="0" quotePrefix="0" xfId="0">
      <alignment horizontal="left" vertical="center" wrapText="1" indent="1"/>
    </xf>
    <xf numFmtId="0" fontId="19" fillId="4" borderId="1" applyAlignment="1" pivotButton="0" quotePrefix="0" xfId="0">
      <alignment horizontal="center" vertical="center" wrapText="1"/>
    </xf>
    <xf numFmtId="167" fontId="20" fillId="4" borderId="1" applyAlignment="1" pivotButton="0" quotePrefix="0" xfId="0">
      <alignment horizontal="center" vertical="center" wrapText="1"/>
    </xf>
    <xf numFmtId="168" fontId="14" fillId="4" borderId="1" applyAlignment="1" pivotButton="0" quotePrefix="0" xfId="0">
      <alignment horizontal="center" vertical="center" wrapText="1"/>
    </xf>
    <xf numFmtId="169" fontId="15" fillId="4" borderId="1" applyAlignment="1" pivotButton="0" quotePrefix="0" xfId="0">
      <alignment horizontal="right" vertical="center" indent="1"/>
    </xf>
    <xf numFmtId="170" fontId="21" fillId="4" borderId="1" applyAlignment="1" pivotButton="0" quotePrefix="0" xfId="0">
      <alignment horizontal="right" vertical="center" indent="1"/>
    </xf>
    <xf numFmtId="0" fontId="12" fillId="0" borderId="4" pivotButton="0" quotePrefix="0" xfId="0"/>
    <xf numFmtId="0" fontId="0" fillId="0" borderId="4" pivotButton="0" quotePrefix="0" xfId="0"/>
    <xf numFmtId="0" fontId="2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 indent="1"/>
    </xf>
    <xf numFmtId="0" fontId="25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1" fontId="4" fillId="2" borderId="0" applyAlignment="1" pivotButton="0" quotePrefix="0" xfId="0">
      <alignment horizontal="left"/>
    </xf>
    <xf numFmtId="9" fontId="4" fillId="2" borderId="0" applyAlignment="1" pivotButton="0" quotePrefix="0" xfId="0">
      <alignment horizontal="left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166" fontId="4" fillId="2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1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46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hidden="1" width="3" customWidth="1" min="10" max="10"/>
    <col hidden="1" width="24" customWidth="1" min="11" max="11"/>
    <col hidden="1" width="11" customWidth="1" min="12" max="12"/>
    <col hidden="1" width="11" customWidth="1" min="13" max="13"/>
  </cols>
  <sheetData>
    <row r="2" ht="34" customHeight="1">
      <c r="B2" s="1">
        <f>'Paramètres'!C5</f>
        <v/>
      </c>
    </row>
    <row r="3" ht="20" customHeight="1">
      <c r="B3" s="2" t="inlineStr">
        <is>
          <t>PRICE LIST — COMMUNICATION, DIRECTION ARTISTIQUE &amp; DESIGN</t>
        </is>
      </c>
    </row>
    <row r="4" ht="18" customHeight="1">
      <c r="B4" s="3">
        <f>'Paramètres'!C6</f>
        <v/>
      </c>
    </row>
    <row r="5" ht="8" customHeight="1"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B7" s="6" t="inlineStr">
        <is>
          <t>PRÉPARÉ POUR</t>
        </is>
      </c>
      <c r="H7" s="7" t="inlineStr">
        <is>
          <t>DATE</t>
        </is>
      </c>
      <c r="I7" s="7" t="inlineStr">
        <is>
          <t>VALIDITÉ</t>
        </is>
      </c>
    </row>
    <row r="8" ht="22" customHeight="1">
      <c r="B8" s="8">
        <f>'Paramètres'!C7</f>
        <v/>
      </c>
      <c r="H8" s="9">
        <f>'Paramètres'!C8</f>
        <v/>
      </c>
      <c r="I8" s="10">
        <f>'Paramètres'!C9&amp;" jours"</f>
        <v/>
      </c>
    </row>
    <row r="10">
      <c r="B10" s="8" t="inlineStr">
        <is>
          <t>NOS TAUX HORAIRES &amp; JOURNALIERS</t>
        </is>
      </c>
      <c r="E10" s="11">
        <f>"1 j/h (jour/homme) = "&amp;'Paramètres'!C10&amp;" heures de travail"</f>
        <v/>
      </c>
    </row>
    <row r="11" ht="22" customHeight="1">
      <c r="B11" s="12" t="inlineStr">
        <is>
          <t>PROFIL</t>
        </is>
      </c>
      <c r="H11" s="13" t="inlineStr">
        <is>
          <t>€ / HEURE HT</t>
        </is>
      </c>
      <c r="I11" s="13" t="inlineStr">
        <is>
          <t>€ / JOUR HT</t>
        </is>
      </c>
    </row>
    <row r="12" ht="18" customHeight="1">
      <c r="B12" s="14">
        <f>'Paramètres'!B17</f>
        <v/>
      </c>
      <c r="C12" s="15" t="n"/>
      <c r="D12" s="15" t="n"/>
      <c r="E12" s="15" t="n"/>
      <c r="F12" s="15" t="n"/>
      <c r="G12" s="15" t="n"/>
      <c r="H12" s="16">
        <f>'Paramètres'!C17</f>
        <v/>
      </c>
      <c r="I12" s="17">
        <f>'Paramètres'!D17</f>
        <v/>
      </c>
    </row>
    <row r="13" ht="18" customHeight="1">
      <c r="B13" s="18">
        <f>'Paramètres'!B18</f>
        <v/>
      </c>
      <c r="C13" s="19" t="n"/>
      <c r="D13" s="19" t="n"/>
      <c r="E13" s="19" t="n"/>
      <c r="F13" s="19" t="n"/>
      <c r="G13" s="19" t="n"/>
      <c r="H13" s="20">
        <f>'Paramètres'!C18</f>
        <v/>
      </c>
      <c r="I13" s="21">
        <f>'Paramètres'!D18</f>
        <v/>
      </c>
    </row>
    <row r="14" ht="18" customHeight="1">
      <c r="B14" s="14">
        <f>'Paramètres'!B19</f>
        <v/>
      </c>
      <c r="C14" s="15" t="n"/>
      <c r="D14" s="15" t="n"/>
      <c r="E14" s="15" t="n"/>
      <c r="F14" s="15" t="n"/>
      <c r="G14" s="15" t="n"/>
      <c r="H14" s="16">
        <f>'Paramètres'!C19</f>
        <v/>
      </c>
      <c r="I14" s="17">
        <f>'Paramètres'!D19</f>
        <v/>
      </c>
    </row>
    <row r="15" ht="18" customHeight="1">
      <c r="B15" s="18">
        <f>'Paramètres'!B20</f>
        <v/>
      </c>
      <c r="C15" s="19" t="n"/>
      <c r="D15" s="19" t="n"/>
      <c r="E15" s="19" t="n"/>
      <c r="F15" s="19" t="n"/>
      <c r="G15" s="19" t="n"/>
      <c r="H15" s="20">
        <f>'Paramètres'!C20</f>
        <v/>
      </c>
      <c r="I15" s="21">
        <f>'Paramètres'!D20</f>
        <v/>
      </c>
    </row>
    <row r="16" ht="18" customHeight="1">
      <c r="B16" s="14">
        <f>'Paramètres'!B21</f>
        <v/>
      </c>
      <c r="C16" s="15" t="n"/>
      <c r="D16" s="15" t="n"/>
      <c r="E16" s="15" t="n"/>
      <c r="F16" s="15" t="n"/>
      <c r="G16" s="15" t="n"/>
      <c r="H16" s="16">
        <f>'Paramètres'!C21</f>
        <v/>
      </c>
      <c r="I16" s="17">
        <f>'Paramètres'!D21</f>
        <v/>
      </c>
    </row>
    <row r="17" ht="18" customHeight="1">
      <c r="B17" s="18">
        <f>'Paramètres'!B22</f>
        <v/>
      </c>
      <c r="C17" s="19" t="n"/>
      <c r="D17" s="19" t="n"/>
      <c r="E17" s="19" t="n"/>
      <c r="F17" s="19" t="n"/>
      <c r="G17" s="19" t="n"/>
      <c r="H17" s="20">
        <f>'Paramètres'!C22</f>
        <v/>
      </c>
      <c r="I17" s="21">
        <f>'Paramètres'!D22</f>
        <v/>
      </c>
    </row>
    <row r="18" ht="18" customHeight="1">
      <c r="B18" s="14">
        <f>'Paramètres'!B23</f>
        <v/>
      </c>
      <c r="C18" s="15" t="n"/>
      <c r="D18" s="15" t="n"/>
      <c r="E18" s="15" t="n"/>
      <c r="F18" s="15" t="n"/>
      <c r="G18" s="15" t="n"/>
      <c r="H18" s="16">
        <f>'Paramètres'!C23</f>
        <v/>
      </c>
      <c r="I18" s="17">
        <f>'Paramètres'!D23</f>
        <v/>
      </c>
    </row>
    <row r="19" ht="18" customHeight="1">
      <c r="B19" s="18">
        <f>'Paramètres'!B24</f>
        <v/>
      </c>
      <c r="C19" s="19" t="n"/>
      <c r="D19" s="19" t="n"/>
      <c r="E19" s="19" t="n"/>
      <c r="F19" s="19" t="n"/>
      <c r="G19" s="19" t="n"/>
      <c r="H19" s="20">
        <f>'Paramètres'!C24</f>
        <v/>
      </c>
      <c r="I19" s="21">
        <f>'Paramètres'!D24</f>
        <v/>
      </c>
    </row>
    <row r="20" ht="18" customHeight="1">
      <c r="B20" s="14">
        <f>'Paramètres'!B25</f>
        <v/>
      </c>
      <c r="C20" s="15" t="n"/>
      <c r="D20" s="15" t="n"/>
      <c r="E20" s="15" t="n"/>
      <c r="F20" s="15" t="n"/>
      <c r="G20" s="15" t="n"/>
      <c r="H20" s="16">
        <f>'Paramètres'!C25</f>
        <v/>
      </c>
      <c r="I20" s="17">
        <f>'Paramètres'!D25</f>
        <v/>
      </c>
    </row>
    <row r="21" ht="18" customHeight="1">
      <c r="B21" s="18">
        <f>'Paramètres'!B26</f>
        <v/>
      </c>
      <c r="C21" s="19" t="n"/>
      <c r="D21" s="19" t="n"/>
      <c r="E21" s="19" t="n"/>
      <c r="F21" s="19" t="n"/>
      <c r="G21" s="19" t="n"/>
      <c r="H21" s="20">
        <f>'Paramètres'!C26</f>
        <v/>
      </c>
      <c r="I21" s="21">
        <f>'Paramètres'!D26</f>
        <v/>
      </c>
    </row>
    <row r="22" ht="18" customHeight="1">
      <c r="B22" s="14">
        <f>'Paramètres'!B27</f>
        <v/>
      </c>
      <c r="C22" s="15" t="n"/>
      <c r="D22" s="15" t="n"/>
      <c r="E22" s="15" t="n"/>
      <c r="F22" s="15" t="n"/>
      <c r="G22" s="15" t="n"/>
      <c r="H22" s="16">
        <f>'Paramètres'!C27</f>
        <v/>
      </c>
      <c r="I22" s="17">
        <f>'Paramètres'!D27</f>
        <v/>
      </c>
    </row>
    <row r="23" ht="18" customHeight="1">
      <c r="B23" s="18">
        <f>'Paramètres'!B28</f>
        <v/>
      </c>
      <c r="C23" s="19" t="n"/>
      <c r="D23" s="19" t="n"/>
      <c r="E23" s="19" t="n"/>
      <c r="F23" s="19" t="n"/>
      <c r="G23" s="19" t="n"/>
      <c r="H23" s="20">
        <f>'Paramètres'!C28</f>
        <v/>
      </c>
      <c r="I23" s="21">
        <f>'Paramètres'!D28</f>
        <v/>
      </c>
    </row>
    <row r="24" ht="18" customHeight="1">
      <c r="B24" s="14">
        <f>'Paramètres'!B29</f>
        <v/>
      </c>
      <c r="C24" s="15" t="n"/>
      <c r="D24" s="15" t="n"/>
      <c r="E24" s="15" t="n"/>
      <c r="F24" s="15" t="n"/>
      <c r="G24" s="15" t="n"/>
      <c r="H24" s="16">
        <f>'Paramètres'!C29</f>
        <v/>
      </c>
      <c r="I24" s="17">
        <f>'Paramètres'!D29</f>
        <v/>
      </c>
    </row>
    <row r="27">
      <c r="B27" s="8" t="inlineStr">
        <is>
          <t>NOS PRESTATIONS</t>
        </is>
      </c>
      <c r="E27" s="11" t="inlineStr">
        <is>
          <t>Durées indicatives en heures et en jours/homme (j/h).</t>
        </is>
      </c>
    </row>
    <row r="28" ht="24" customHeight="1">
      <c r="B28" s="13" t="inlineStr">
        <is>
          <t>RÉF.</t>
        </is>
      </c>
      <c r="C28" s="12" t="inlineStr">
        <is>
          <t>PRESTATION</t>
        </is>
      </c>
      <c r="D28" s="12" t="inlineStr">
        <is>
          <t>DÉTAIL / LIVRABLES</t>
        </is>
      </c>
      <c r="E28" s="13" t="inlineStr">
        <is>
          <t>UNITÉ</t>
        </is>
      </c>
      <c r="F28" s="13" t="inlineStr">
        <is>
          <t>HEURES</t>
        </is>
      </c>
      <c r="G28" s="13" t="inlineStr">
        <is>
          <t>J/H</t>
        </is>
      </c>
      <c r="H28" s="13" t="inlineStr">
        <is>
          <t>PRIX HT</t>
        </is>
      </c>
      <c r="I28" s="13" t="inlineStr">
        <is>
          <t>PRIX TVAC</t>
        </is>
      </c>
      <c r="K28" s="22" t="inlineStr">
        <is>
          <t>Profil (interne)</t>
        </is>
      </c>
      <c r="L28" s="22" t="inlineStr">
        <is>
          <t>Frais HT (interne)</t>
        </is>
      </c>
      <c r="M28" s="22" t="inlineStr">
        <is>
          <t>Taux (interne)</t>
        </is>
      </c>
    </row>
    <row r="29" ht="8" customHeight="1"/>
    <row r="30" ht="24" customHeight="1">
      <c r="B30" s="23" t="inlineStr">
        <is>
          <t>01</t>
        </is>
      </c>
      <c r="C30" s="24" t="inlineStr">
        <is>
          <t>STRATÉGIE &amp; DIRECTION ARTISTIQUE</t>
        </is>
      </c>
      <c r="D30" s="25" t="n"/>
      <c r="E30" s="25" t="n"/>
      <c r="F30" s="25" t="n"/>
      <c r="G30" s="25" t="n"/>
      <c r="H30" s="25" t="n"/>
      <c r="I30" s="25" t="n"/>
    </row>
    <row r="31" ht="28" customHeight="1">
      <c r="B31" s="26" t="inlineStr">
        <is>
          <t>01.01</t>
        </is>
      </c>
      <c r="C31" s="27" t="inlineStr">
        <is>
          <t>Audit de communication &amp; de marque</t>
        </is>
      </c>
      <c r="D31" s="28" t="inlineStr">
        <is>
          <t>Analyse de l'existant, concurrence, recommandations</t>
        </is>
      </c>
      <c r="E31" s="29" t="inlineStr">
        <is>
          <t>forfait</t>
        </is>
      </c>
      <c r="F31" s="30" t="n">
        <v>12</v>
      </c>
      <c r="G31" s="31">
        <f>IF(F31="","",F31/'Paramètres'!$C$10)</f>
        <v/>
      </c>
      <c r="H31" s="32">
        <f>CEILING(N(F31)*M31+L31,'Paramètres'!$C$12)</f>
        <v/>
      </c>
      <c r="I31" s="33">
        <f>H31*(1+'Paramètres'!$C$11)</f>
        <v/>
      </c>
      <c r="K31" s="34" t="inlineStr">
        <is>
          <t>Directeur artistique</t>
        </is>
      </c>
      <c r="L31" s="35" t="n">
        <v>0</v>
      </c>
      <c r="M31" s="36">
        <f>IFERROR(INDEX('Paramètres'!$C$17:$C$29,MATCH(K31,'Paramètres'!$B$17:$B$29,0)),0)</f>
        <v/>
      </c>
    </row>
    <row r="32" ht="28" customHeight="1">
      <c r="B32" s="37" t="inlineStr">
        <is>
          <t>01.02</t>
        </is>
      </c>
      <c r="C32" s="38" t="inlineStr">
        <is>
          <t>Plateforme de marque</t>
        </is>
      </c>
      <c r="D32" s="39" t="inlineStr">
        <is>
          <t>Positionnement, valeurs, ton, cibles, messages clés</t>
        </is>
      </c>
      <c r="E32" s="40" t="inlineStr">
        <is>
          <t>forfait</t>
        </is>
      </c>
      <c r="F32" s="41" t="n">
        <v>24</v>
      </c>
      <c r="G32" s="42">
        <f>IF(F32="","",F32/'Paramètres'!$C$10)</f>
        <v/>
      </c>
      <c r="H32" s="43">
        <f>CEILING(N(F32)*M32+L32,'Paramètres'!$C$12)</f>
        <v/>
      </c>
      <c r="I32" s="44">
        <f>H32*(1+'Paramètres'!$C$11)</f>
        <v/>
      </c>
      <c r="K32" s="34" t="inlineStr">
        <is>
          <t>Directeur artistique</t>
        </is>
      </c>
      <c r="L32" s="35" t="n">
        <v>0</v>
      </c>
      <c r="M32" s="36">
        <f>IFERROR(INDEX('Paramètres'!$C$17:$C$29,MATCH(K32,'Paramètres'!$B$17:$B$29,0)),0)</f>
        <v/>
      </c>
    </row>
    <row r="33" ht="28" customHeight="1">
      <c r="B33" s="26" t="inlineStr">
        <is>
          <t>01.03</t>
        </is>
      </c>
      <c r="C33" s="27" t="inlineStr">
        <is>
          <t>Stratégie de communication annuelle</t>
        </is>
      </c>
      <c r="D33" s="28" t="inlineStr">
        <is>
          <t>Plan d'actions, canaux, calendrier, budget</t>
        </is>
      </c>
      <c r="E33" s="29" t="inlineStr">
        <is>
          <t>forfait</t>
        </is>
      </c>
      <c r="F33" s="30" t="n">
        <v>24</v>
      </c>
      <c r="G33" s="31">
        <f>IF(F33="","",F33/'Paramètres'!$C$10)</f>
        <v/>
      </c>
      <c r="H33" s="32">
        <f>CEILING(N(F33)*M33+L33,'Paramètres'!$C$12)</f>
        <v/>
      </c>
      <c r="I33" s="33">
        <f>H33*(1+'Paramètres'!$C$11)</f>
        <v/>
      </c>
      <c r="K33" s="34" t="inlineStr">
        <is>
          <t>Chef de projet</t>
        </is>
      </c>
      <c r="L33" s="35" t="n">
        <v>0</v>
      </c>
      <c r="M33" s="36">
        <f>IFERROR(INDEX('Paramètres'!$C$17:$C$29,MATCH(K33,'Paramètres'!$B$17:$B$29,0)),0)</f>
        <v/>
      </c>
    </row>
    <row r="34" ht="28" customHeight="1">
      <c r="B34" s="37" t="inlineStr">
        <is>
          <t>01.04</t>
        </is>
      </c>
      <c r="C34" s="38" t="inlineStr">
        <is>
          <t>Atelier créatif / brainstorming</t>
        </is>
      </c>
      <c r="D34" s="39" t="inlineStr">
        <is>
          <t>Séance de travail avec vos équipes (½ journée)</t>
        </is>
      </c>
      <c r="E34" s="40" t="inlineStr">
        <is>
          <t>forfait</t>
        </is>
      </c>
      <c r="F34" s="41" t="n">
        <v>4</v>
      </c>
      <c r="G34" s="42">
        <f>IF(F34="","",F34/'Paramètres'!$C$10)</f>
        <v/>
      </c>
      <c r="H34" s="43">
        <f>CEILING(N(F34)*M34+L34,'Paramètres'!$C$12)</f>
        <v/>
      </c>
      <c r="I34" s="44">
        <f>H34*(1+'Paramètres'!$C$11)</f>
        <v/>
      </c>
      <c r="K34" s="34" t="inlineStr">
        <is>
          <t>Directeur artistique</t>
        </is>
      </c>
      <c r="L34" s="35" t="n">
        <v>0</v>
      </c>
      <c r="M34" s="36">
        <f>IFERROR(INDEX('Paramètres'!$C$17:$C$29,MATCH(K34,'Paramètres'!$B$17:$B$29,0)),0)</f>
        <v/>
      </c>
    </row>
    <row r="35" ht="28" customHeight="1">
      <c r="B35" s="26" t="inlineStr">
        <is>
          <t>01.05</t>
        </is>
      </c>
      <c r="C35" s="27" t="inlineStr">
        <is>
          <t>Moodboard &amp; concept créatif</t>
        </is>
      </c>
      <c r="D35" s="28" t="inlineStr">
        <is>
          <t>Pistes visuelles et univers graphique</t>
        </is>
      </c>
      <c r="E35" s="29" t="inlineStr">
        <is>
          <t>forfait</t>
        </is>
      </c>
      <c r="F35" s="30" t="n">
        <v>8</v>
      </c>
      <c r="G35" s="31">
        <f>IF(F35="","",F35/'Paramètres'!$C$10)</f>
        <v/>
      </c>
      <c r="H35" s="32">
        <f>CEILING(N(F35)*M35+L35,'Paramètres'!$C$12)</f>
        <v/>
      </c>
      <c r="I35" s="33">
        <f>H35*(1+'Paramètres'!$C$11)</f>
        <v/>
      </c>
      <c r="K35" s="34" t="inlineStr">
        <is>
          <t>Directeur artistique</t>
        </is>
      </c>
      <c r="L35" s="35" t="n">
        <v>0</v>
      </c>
      <c r="M35" s="36">
        <f>IFERROR(INDEX('Paramètres'!$C$17:$C$29,MATCH(K35,'Paramètres'!$B$17:$B$29,0)),0)</f>
        <v/>
      </c>
    </row>
    <row r="36" ht="28" customHeight="1">
      <c r="B36" s="37" t="inlineStr">
        <is>
          <t>01.06</t>
        </is>
      </c>
      <c r="C36" s="38" t="inlineStr">
        <is>
          <t>Direction artistique</t>
        </is>
      </c>
      <c r="D36" s="39" t="inlineStr">
        <is>
          <t>Supervision créative d'un projet</t>
        </is>
      </c>
      <c r="E36" s="40" t="inlineStr">
        <is>
          <t>heure</t>
        </is>
      </c>
      <c r="F36" s="41" t="n">
        <v>1</v>
      </c>
      <c r="G36" s="42">
        <f>IF(F36="","",F36/'Paramètres'!$C$10)</f>
        <v/>
      </c>
      <c r="H36" s="43">
        <f>CEILING(N(F36)*M36+L36,'Paramètres'!$C$12)</f>
        <v/>
      </c>
      <c r="I36" s="44">
        <f>H36*(1+'Paramètres'!$C$11)</f>
        <v/>
      </c>
      <c r="K36" s="34" t="inlineStr">
        <is>
          <t>Directeur artistique</t>
        </is>
      </c>
      <c r="L36" s="35" t="n">
        <v>0</v>
      </c>
      <c r="M36" s="36">
        <f>IFERROR(INDEX('Paramètres'!$C$17:$C$29,MATCH(K36,'Paramètres'!$B$17:$B$29,0)),0)</f>
        <v/>
      </c>
    </row>
    <row r="37" ht="28" customHeight="1">
      <c r="B37" s="26" t="inlineStr">
        <is>
          <t>01.07</t>
        </is>
      </c>
      <c r="C37" s="27" t="inlineStr">
        <is>
          <t>Direction artistique — journée</t>
        </is>
      </c>
      <c r="D37" s="28" t="inlineStr">
        <is>
          <t>Présence shooting / tournage / production</t>
        </is>
      </c>
      <c r="E37" s="29" t="inlineStr">
        <is>
          <t>jour</t>
        </is>
      </c>
      <c r="F37" s="30" t="n">
        <v>8</v>
      </c>
      <c r="G37" s="31">
        <f>IF(F37="","",F37/'Paramètres'!$C$10)</f>
        <v/>
      </c>
      <c r="H37" s="32">
        <f>CEILING(N(F37)*M37+L37,'Paramètres'!$C$12)</f>
        <v/>
      </c>
      <c r="I37" s="33">
        <f>H37*(1+'Paramètres'!$C$11)</f>
        <v/>
      </c>
      <c r="K37" s="34" t="inlineStr">
        <is>
          <t>Directeur artistique</t>
        </is>
      </c>
      <c r="L37" s="35" t="n">
        <v>0</v>
      </c>
      <c r="M37" s="36">
        <f>IFERROR(INDEX('Paramètres'!$C$17:$C$29,MATCH(K37,'Paramètres'!$B$17:$B$29,0)),0)</f>
        <v/>
      </c>
    </row>
    <row r="38" ht="28" customHeight="1">
      <c r="B38" s="37" t="inlineStr">
        <is>
          <t>01.08</t>
        </is>
      </c>
      <c r="C38" s="38" t="inlineStr">
        <is>
          <t>Gestion de projet</t>
        </is>
      </c>
      <c r="D38" s="39" t="inlineStr">
        <is>
          <t>Coordination, planning, suivi fournisseurs</t>
        </is>
      </c>
      <c r="E38" s="40" t="inlineStr">
        <is>
          <t>heure</t>
        </is>
      </c>
      <c r="F38" s="41" t="n">
        <v>1</v>
      </c>
      <c r="G38" s="42">
        <f>IF(F38="","",F38/'Paramètres'!$C$10)</f>
        <v/>
      </c>
      <c r="H38" s="43">
        <f>CEILING(N(F38)*M38+L38,'Paramètres'!$C$12)</f>
        <v/>
      </c>
      <c r="I38" s="44">
        <f>H38*(1+'Paramètres'!$C$11)</f>
        <v/>
      </c>
      <c r="K38" s="34" t="inlineStr">
        <is>
          <t>Chef de projet</t>
        </is>
      </c>
      <c r="L38" s="35" t="n">
        <v>0</v>
      </c>
      <c r="M38" s="36">
        <f>IFERROR(INDEX('Paramètres'!$C$17:$C$29,MATCH(K38,'Paramètres'!$B$17:$B$29,0)),0)</f>
        <v/>
      </c>
    </row>
    <row r="39" ht="28" customHeight="1">
      <c r="B39" s="26" t="inlineStr">
        <is>
          <t>01.09</t>
        </is>
      </c>
      <c r="C39" s="27" t="inlineStr">
        <is>
          <t>Réunion client</t>
        </is>
      </c>
      <c r="D39" s="28" t="inlineStr">
        <is>
          <t>Rendez-vous de suivi, déplacement inclus (Belgique)</t>
        </is>
      </c>
      <c r="E39" s="29" t="inlineStr">
        <is>
          <t>forfait</t>
        </is>
      </c>
      <c r="F39" s="30" t="n">
        <v>2</v>
      </c>
      <c r="G39" s="31">
        <f>IF(F39="","",F39/'Paramètres'!$C$10)</f>
        <v/>
      </c>
      <c r="H39" s="32">
        <f>CEILING(N(F39)*M39+L39,'Paramètres'!$C$12)</f>
        <v/>
      </c>
      <c r="I39" s="33">
        <f>H39*(1+'Paramètres'!$C$11)</f>
        <v/>
      </c>
      <c r="K39" s="34" t="inlineStr">
        <is>
          <t>Chef de projet</t>
        </is>
      </c>
      <c r="L39" s="35" t="n">
        <v>30</v>
      </c>
      <c r="M39" s="36">
        <f>IFERROR(INDEX('Paramètres'!$C$17:$C$29,MATCH(K39,'Paramètres'!$B$17:$B$29,0)),0)</f>
        <v/>
      </c>
    </row>
    <row r="40" ht="8" customHeight="1"/>
    <row r="41" ht="24" customHeight="1">
      <c r="B41" s="23" t="inlineStr">
        <is>
          <t>02</t>
        </is>
      </c>
      <c r="C41" s="24" t="inlineStr">
        <is>
          <t>IDENTITÉ VISUELLE &amp; BRANDING</t>
        </is>
      </c>
      <c r="D41" s="25" t="n"/>
      <c r="E41" s="25" t="n"/>
      <c r="F41" s="25" t="n"/>
      <c r="G41" s="25" t="n"/>
      <c r="H41" s="25" t="n"/>
      <c r="I41" s="25" t="n"/>
    </row>
    <row r="42" ht="28" customHeight="1">
      <c r="B42" s="26" t="inlineStr">
        <is>
          <t>02.01</t>
        </is>
      </c>
      <c r="C42" s="27" t="inlineStr">
        <is>
          <t>Création de logo</t>
        </is>
      </c>
      <c r="D42" s="28" t="inlineStr">
        <is>
          <t>3 pistes créatives, 2 allers-retours, fichiers sources</t>
        </is>
      </c>
      <c r="E42" s="29" t="inlineStr">
        <is>
          <t>forfait</t>
        </is>
      </c>
      <c r="F42" s="30" t="n">
        <v>24</v>
      </c>
      <c r="G42" s="31">
        <f>IF(F42="","",F42/'Paramètres'!$C$10)</f>
        <v/>
      </c>
      <c r="H42" s="32">
        <f>CEILING(N(F42)*M42+L42,'Paramètres'!$C$12)</f>
        <v/>
      </c>
      <c r="I42" s="33">
        <f>H42*(1+'Paramètres'!$C$11)</f>
        <v/>
      </c>
      <c r="K42" s="34" t="inlineStr">
        <is>
          <t>Graphiste</t>
        </is>
      </c>
      <c r="L42" s="35" t="n">
        <v>0</v>
      </c>
      <c r="M42" s="36">
        <f>IFERROR(INDEX('Paramètres'!$C$17:$C$29,MATCH(K42,'Paramètres'!$B$17:$B$29,0)),0)</f>
        <v/>
      </c>
    </row>
    <row r="43" ht="28" customHeight="1">
      <c r="B43" s="37" t="inlineStr">
        <is>
          <t>02.02</t>
        </is>
      </c>
      <c r="C43" s="38" t="inlineStr">
        <is>
          <t>Refonte / modernisation de logo</t>
        </is>
      </c>
      <c r="D43" s="39" t="inlineStr">
        <is>
          <t>Évolution d'un logo existant</t>
        </is>
      </c>
      <c r="E43" s="40" t="inlineStr">
        <is>
          <t>forfait</t>
        </is>
      </c>
      <c r="F43" s="41" t="n">
        <v>14</v>
      </c>
      <c r="G43" s="42">
        <f>IF(F43="","",F43/'Paramètres'!$C$10)</f>
        <v/>
      </c>
      <c r="H43" s="43">
        <f>CEILING(N(F43)*M43+L43,'Paramètres'!$C$12)</f>
        <v/>
      </c>
      <c r="I43" s="44">
        <f>H43*(1+'Paramètres'!$C$11)</f>
        <v/>
      </c>
      <c r="K43" s="34" t="inlineStr">
        <is>
          <t>Graphiste</t>
        </is>
      </c>
      <c r="L43" s="35" t="n">
        <v>0</v>
      </c>
      <c r="M43" s="36">
        <f>IFERROR(INDEX('Paramètres'!$C$17:$C$29,MATCH(K43,'Paramètres'!$B$17:$B$29,0)),0)</f>
        <v/>
      </c>
    </row>
    <row r="44" ht="28" customHeight="1">
      <c r="B44" s="26" t="inlineStr">
        <is>
          <t>02.03</t>
        </is>
      </c>
      <c r="C44" s="27" t="inlineStr">
        <is>
          <t>Charte graphique</t>
        </is>
      </c>
      <c r="D44" s="28" t="inlineStr">
        <is>
          <t>Couleurs, typographies, règles d'usage (PDF)</t>
        </is>
      </c>
      <c r="E44" s="29" t="inlineStr">
        <is>
          <t>forfait</t>
        </is>
      </c>
      <c r="F44" s="30" t="n">
        <v>16</v>
      </c>
      <c r="G44" s="31">
        <f>IF(F44="","",F44/'Paramètres'!$C$10)</f>
        <v/>
      </c>
      <c r="H44" s="32">
        <f>CEILING(N(F44)*M44+L44,'Paramètres'!$C$12)</f>
        <v/>
      </c>
      <c r="I44" s="33">
        <f>H44*(1+'Paramètres'!$C$11)</f>
        <v/>
      </c>
      <c r="K44" s="34" t="inlineStr">
        <is>
          <t>Graphiste</t>
        </is>
      </c>
      <c r="L44" s="35" t="n">
        <v>0</v>
      </c>
      <c r="M44" s="36">
        <f>IFERROR(INDEX('Paramètres'!$C$17:$C$29,MATCH(K44,'Paramètres'!$B$17:$B$29,0)),0)</f>
        <v/>
      </c>
    </row>
    <row r="45" ht="28" customHeight="1">
      <c r="B45" s="37" t="inlineStr">
        <is>
          <t>02.04</t>
        </is>
      </c>
      <c r="C45" s="38" t="inlineStr">
        <is>
          <t>Brandbook complet</t>
        </is>
      </c>
      <c r="D45" s="39" t="inlineStr">
        <is>
          <t>Charte + déclinaisons + exemples d'application</t>
        </is>
      </c>
      <c r="E45" s="40" t="inlineStr">
        <is>
          <t>forfait</t>
        </is>
      </c>
      <c r="F45" s="41" t="n">
        <v>32</v>
      </c>
      <c r="G45" s="42">
        <f>IF(F45="","",F45/'Paramètres'!$C$10)</f>
        <v/>
      </c>
      <c r="H45" s="43">
        <f>CEILING(N(F45)*M45+L45,'Paramètres'!$C$12)</f>
        <v/>
      </c>
      <c r="I45" s="44">
        <f>H45*(1+'Paramètres'!$C$11)</f>
        <v/>
      </c>
      <c r="K45" s="34" t="inlineStr">
        <is>
          <t>Directeur artistique</t>
        </is>
      </c>
      <c r="L45" s="35" t="n">
        <v>0</v>
      </c>
      <c r="M45" s="36">
        <f>IFERROR(INDEX('Paramètres'!$C$17:$C$29,MATCH(K45,'Paramètres'!$B$17:$B$29,0)),0)</f>
        <v/>
      </c>
    </row>
    <row r="46" ht="28" customHeight="1">
      <c r="B46" s="26" t="inlineStr">
        <is>
          <t>02.05</t>
        </is>
      </c>
      <c r="C46" s="27" t="inlineStr">
        <is>
          <t>Naming</t>
        </is>
      </c>
      <c r="D46" s="28" t="inlineStr">
        <is>
          <t>Recherche de nom, 10 propositions argumentées</t>
        </is>
      </c>
      <c r="E46" s="29" t="inlineStr">
        <is>
          <t>forfait</t>
        </is>
      </c>
      <c r="F46" s="30" t="n">
        <v>12</v>
      </c>
      <c r="G46" s="31">
        <f>IF(F46="","",F46/'Paramètres'!$C$10)</f>
        <v/>
      </c>
      <c r="H46" s="32">
        <f>CEILING(N(F46)*M46+L46,'Paramètres'!$C$12)</f>
        <v/>
      </c>
      <c r="I46" s="33">
        <f>H46*(1+'Paramètres'!$C$11)</f>
        <v/>
      </c>
      <c r="K46" s="34" t="inlineStr">
        <is>
          <t>Rédacteur / copywriter</t>
        </is>
      </c>
      <c r="L46" s="35" t="n">
        <v>0</v>
      </c>
      <c r="M46" s="36">
        <f>IFERROR(INDEX('Paramètres'!$C$17:$C$29,MATCH(K46,'Paramètres'!$B$17:$B$29,0)),0)</f>
        <v/>
      </c>
    </row>
    <row r="47" ht="28" customHeight="1">
      <c r="B47" s="37" t="inlineStr">
        <is>
          <t>02.06</t>
        </is>
      </c>
      <c r="C47" s="38" t="inlineStr">
        <is>
          <t>Slogan / signature de marque</t>
        </is>
      </c>
      <c r="D47" s="39" t="inlineStr">
        <is>
          <t>5 propositions</t>
        </is>
      </c>
      <c r="E47" s="40" t="inlineStr">
        <is>
          <t>forfait</t>
        </is>
      </c>
      <c r="F47" s="41" t="n">
        <v>4</v>
      </c>
      <c r="G47" s="42">
        <f>IF(F47="","",F47/'Paramètres'!$C$10)</f>
        <v/>
      </c>
      <c r="H47" s="43">
        <f>CEILING(N(F47)*M47+L47,'Paramètres'!$C$12)</f>
        <v/>
      </c>
      <c r="I47" s="44">
        <f>H47*(1+'Paramètres'!$C$11)</f>
        <v/>
      </c>
      <c r="K47" s="34" t="inlineStr">
        <is>
          <t>Rédacteur / copywriter</t>
        </is>
      </c>
      <c r="L47" s="35" t="n">
        <v>0</v>
      </c>
      <c r="M47" s="36">
        <f>IFERROR(INDEX('Paramètres'!$C$17:$C$29,MATCH(K47,'Paramètres'!$B$17:$B$29,0)),0)</f>
        <v/>
      </c>
    </row>
    <row r="48" ht="28" customHeight="1">
      <c r="B48" s="26" t="inlineStr">
        <is>
          <t>02.07</t>
        </is>
      </c>
      <c r="C48" s="27" t="inlineStr">
        <is>
          <t>Papeterie</t>
        </is>
      </c>
      <c r="D48" s="28" t="inlineStr">
        <is>
          <t>Carte de visite, papier en-tête, enveloppe</t>
        </is>
      </c>
      <c r="E48" s="29" t="inlineStr">
        <is>
          <t>forfait</t>
        </is>
      </c>
      <c r="F48" s="30" t="n">
        <v>6</v>
      </c>
      <c r="G48" s="31">
        <f>IF(F48="","",F48/'Paramètres'!$C$10)</f>
        <v/>
      </c>
      <c r="H48" s="32">
        <f>CEILING(N(F48)*M48+L48,'Paramètres'!$C$12)</f>
        <v/>
      </c>
      <c r="I48" s="33">
        <f>H48*(1+'Paramètres'!$C$11)</f>
        <v/>
      </c>
      <c r="K48" s="34" t="inlineStr">
        <is>
          <t>Graphiste</t>
        </is>
      </c>
      <c r="L48" s="35" t="n">
        <v>0</v>
      </c>
      <c r="M48" s="36">
        <f>IFERROR(INDEX('Paramètres'!$C$17:$C$29,MATCH(K48,'Paramètres'!$B$17:$B$29,0)),0)</f>
        <v/>
      </c>
    </row>
    <row r="49" ht="28" customHeight="1">
      <c r="B49" s="37" t="inlineStr">
        <is>
          <t>02.08</t>
        </is>
      </c>
      <c r="C49" s="38" t="inlineStr">
        <is>
          <t>Signature e-mail HTML</t>
        </is>
      </c>
      <c r="D49" s="39" t="inlineStr">
        <is>
          <t>Modèle aux couleurs de la marque</t>
        </is>
      </c>
      <c r="E49" s="40" t="inlineStr">
        <is>
          <t>forfait</t>
        </is>
      </c>
      <c r="F49" s="41" t="n">
        <v>2</v>
      </c>
      <c r="G49" s="42">
        <f>IF(F49="","",F49/'Paramètres'!$C$10)</f>
        <v/>
      </c>
      <c r="H49" s="43">
        <f>CEILING(N(F49)*M49+L49,'Paramètres'!$C$12)</f>
        <v/>
      </c>
      <c r="I49" s="44">
        <f>H49*(1+'Paramètres'!$C$11)</f>
        <v/>
      </c>
      <c r="K49" s="34" t="inlineStr">
        <is>
          <t>Graphiste</t>
        </is>
      </c>
      <c r="L49" s="35" t="n">
        <v>0</v>
      </c>
      <c r="M49" s="36">
        <f>IFERROR(INDEX('Paramètres'!$C$17:$C$29,MATCH(K49,'Paramètres'!$B$17:$B$29,0)),0)</f>
        <v/>
      </c>
    </row>
    <row r="50" ht="28" customHeight="1">
      <c r="B50" s="26" t="inlineStr">
        <is>
          <t>02.09</t>
        </is>
      </c>
      <c r="C50" s="27" t="inlineStr">
        <is>
          <t>Templates Office / PowerPoint</t>
        </is>
      </c>
      <c r="D50" s="28" t="inlineStr">
        <is>
          <t>Modèles Word + présentation</t>
        </is>
      </c>
      <c r="E50" s="29" t="inlineStr">
        <is>
          <t>forfait</t>
        </is>
      </c>
      <c r="F50" s="30" t="n">
        <v>8</v>
      </c>
      <c r="G50" s="31">
        <f>IF(F50="","",F50/'Paramètres'!$C$10)</f>
        <v/>
      </c>
      <c r="H50" s="32">
        <f>CEILING(N(F50)*M50+L50,'Paramètres'!$C$12)</f>
        <v/>
      </c>
      <c r="I50" s="33">
        <f>H50*(1+'Paramètres'!$C$11)</f>
        <v/>
      </c>
      <c r="K50" s="34" t="inlineStr">
        <is>
          <t>Graphiste</t>
        </is>
      </c>
      <c r="L50" s="35" t="n">
        <v>0</v>
      </c>
      <c r="M50" s="36">
        <f>IFERROR(INDEX('Paramètres'!$C$17:$C$29,MATCH(K50,'Paramètres'!$B$17:$B$29,0)),0)</f>
        <v/>
      </c>
    </row>
    <row r="51" ht="8" customHeight="1"/>
    <row r="52" ht="24" customHeight="1">
      <c r="B52" s="23" t="inlineStr">
        <is>
          <t>03</t>
        </is>
      </c>
      <c r="C52" s="24" t="inlineStr">
        <is>
          <t>GRAPHISME PRINT &amp; ÉDITION</t>
        </is>
      </c>
      <c r="D52" s="25" t="n"/>
      <c r="E52" s="25" t="n"/>
      <c r="F52" s="25" t="n"/>
      <c r="G52" s="25" t="n"/>
      <c r="H52" s="25" t="n"/>
      <c r="I52" s="25" t="n"/>
    </row>
    <row r="53" ht="28" customHeight="1">
      <c r="B53" s="26" t="inlineStr">
        <is>
          <t>03.01</t>
        </is>
      </c>
      <c r="C53" s="27" t="inlineStr">
        <is>
          <t>Heure de graphisme</t>
        </is>
      </c>
      <c r="D53" s="28" t="inlineStr">
        <is>
          <t>Création ou adaptation graphique</t>
        </is>
      </c>
      <c r="E53" s="29" t="inlineStr">
        <is>
          <t>heure</t>
        </is>
      </c>
      <c r="F53" s="30" t="n">
        <v>1</v>
      </c>
      <c r="G53" s="31">
        <f>IF(F53="","",F53/'Paramètres'!$C$10)</f>
        <v/>
      </c>
      <c r="H53" s="32">
        <f>CEILING(N(F53)*M53+L53,'Paramètres'!$C$12)</f>
        <v/>
      </c>
      <c r="I53" s="33">
        <f>H53*(1+'Paramètres'!$C$11)</f>
        <v/>
      </c>
      <c r="K53" s="34" t="inlineStr">
        <is>
          <t>Graphiste</t>
        </is>
      </c>
      <c r="L53" s="35" t="n">
        <v>0</v>
      </c>
      <c r="M53" s="36">
        <f>IFERROR(INDEX('Paramètres'!$C$17:$C$29,MATCH(K53,'Paramètres'!$B$17:$B$29,0)),0)</f>
        <v/>
      </c>
    </row>
    <row r="54" ht="28" customHeight="1">
      <c r="B54" s="37" t="inlineStr">
        <is>
          <t>03.02</t>
        </is>
      </c>
      <c r="C54" s="38" t="inlineStr">
        <is>
          <t>Journée de graphisme</t>
        </is>
      </c>
      <c r="D54" s="39" t="inlineStr">
        <is>
          <t>Journée de création (1 j/h)</t>
        </is>
      </c>
      <c r="E54" s="40" t="inlineStr">
        <is>
          <t>jour</t>
        </is>
      </c>
      <c r="F54" s="41" t="n">
        <v>8</v>
      </c>
      <c r="G54" s="42">
        <f>IF(F54="","",F54/'Paramètres'!$C$10)</f>
        <v/>
      </c>
      <c r="H54" s="43">
        <f>CEILING(N(F54)*M54+L54,'Paramètres'!$C$12)</f>
        <v/>
      </c>
      <c r="I54" s="44">
        <f>H54*(1+'Paramètres'!$C$11)</f>
        <v/>
      </c>
      <c r="K54" s="34" t="inlineStr">
        <is>
          <t>Graphiste</t>
        </is>
      </c>
      <c r="L54" s="35" t="n">
        <v>0</v>
      </c>
      <c r="M54" s="36">
        <f>IFERROR(INDEX('Paramètres'!$C$17:$C$29,MATCH(K54,'Paramètres'!$B$17:$B$29,0)),0)</f>
        <v/>
      </c>
    </row>
    <row r="55" ht="28" customHeight="1">
      <c r="B55" s="26" t="inlineStr">
        <is>
          <t>03.03</t>
        </is>
      </c>
      <c r="C55" s="27" t="inlineStr">
        <is>
          <t>Flyer A5 / A4</t>
        </is>
      </c>
      <c r="D55" s="28" t="inlineStr">
        <is>
          <t>Recto-verso, fichiers prêts à imprimer</t>
        </is>
      </c>
      <c r="E55" s="29" t="inlineStr">
        <is>
          <t>forfait</t>
        </is>
      </c>
      <c r="F55" s="30" t="n">
        <v>4</v>
      </c>
      <c r="G55" s="31">
        <f>IF(F55="","",F55/'Paramètres'!$C$10)</f>
        <v/>
      </c>
      <c r="H55" s="32">
        <f>CEILING(N(F55)*M55+L55,'Paramètres'!$C$12)</f>
        <v/>
      </c>
      <c r="I55" s="33">
        <f>H55*(1+'Paramètres'!$C$11)</f>
        <v/>
      </c>
      <c r="K55" s="34" t="inlineStr">
        <is>
          <t>Graphiste</t>
        </is>
      </c>
      <c r="L55" s="35" t="n">
        <v>0</v>
      </c>
      <c r="M55" s="36">
        <f>IFERROR(INDEX('Paramètres'!$C$17:$C$29,MATCH(K55,'Paramètres'!$B$17:$B$29,0)),0)</f>
        <v/>
      </c>
    </row>
    <row r="56" ht="28" customHeight="1">
      <c r="B56" s="37" t="inlineStr">
        <is>
          <t>03.04</t>
        </is>
      </c>
      <c r="C56" s="38" t="inlineStr">
        <is>
          <t>Dépliant 3 volets</t>
        </is>
      </c>
      <c r="D56" s="39" t="inlineStr">
        <is>
          <t>Mise en page complète</t>
        </is>
      </c>
      <c r="E56" s="40" t="inlineStr">
        <is>
          <t>forfait</t>
        </is>
      </c>
      <c r="F56" s="41" t="n">
        <v>8</v>
      </c>
      <c r="G56" s="42">
        <f>IF(F56="","",F56/'Paramètres'!$C$10)</f>
        <v/>
      </c>
      <c r="H56" s="43">
        <f>CEILING(N(F56)*M56+L56,'Paramètres'!$C$12)</f>
        <v/>
      </c>
      <c r="I56" s="44">
        <f>H56*(1+'Paramètres'!$C$11)</f>
        <v/>
      </c>
      <c r="K56" s="34" t="inlineStr">
        <is>
          <t>Graphiste</t>
        </is>
      </c>
      <c r="L56" s="35" t="n">
        <v>0</v>
      </c>
      <c r="M56" s="36">
        <f>IFERROR(INDEX('Paramètres'!$C$17:$C$29,MATCH(K56,'Paramètres'!$B$17:$B$29,0)),0)</f>
        <v/>
      </c>
    </row>
    <row r="57" ht="28" customHeight="1">
      <c r="B57" s="26" t="inlineStr">
        <is>
          <t>03.05</t>
        </is>
      </c>
      <c r="C57" s="27" t="inlineStr">
        <is>
          <t>Brochure 8 pages</t>
        </is>
      </c>
      <c r="D57" s="28" t="inlineStr">
        <is>
          <t>Conception + mise en page</t>
        </is>
      </c>
      <c r="E57" s="29" t="inlineStr">
        <is>
          <t>forfait</t>
        </is>
      </c>
      <c r="F57" s="30" t="n">
        <v>16</v>
      </c>
      <c r="G57" s="31">
        <f>IF(F57="","",F57/'Paramètres'!$C$10)</f>
        <v/>
      </c>
      <c r="H57" s="32">
        <f>CEILING(N(F57)*M57+L57,'Paramètres'!$C$12)</f>
        <v/>
      </c>
      <c r="I57" s="33">
        <f>H57*(1+'Paramètres'!$C$11)</f>
        <v/>
      </c>
      <c r="K57" s="34" t="inlineStr">
        <is>
          <t>Graphiste</t>
        </is>
      </c>
      <c r="L57" s="35" t="n">
        <v>0</v>
      </c>
      <c r="M57" s="36">
        <f>IFERROR(INDEX('Paramètres'!$C$17:$C$29,MATCH(K57,'Paramètres'!$B$17:$B$29,0)),0)</f>
        <v/>
      </c>
    </row>
    <row r="58" ht="28" customHeight="1">
      <c r="B58" s="37" t="inlineStr">
        <is>
          <t>03.06</t>
        </is>
      </c>
      <c r="C58" s="38" t="inlineStr">
        <is>
          <t>Catalogue / brochure — par page</t>
        </is>
      </c>
      <c r="D58" s="39" t="inlineStr">
        <is>
          <t>Mise en page, au-delà de 8 pages</t>
        </is>
      </c>
      <c r="E58" s="40" t="inlineStr">
        <is>
          <t>page</t>
        </is>
      </c>
      <c r="F58" s="41" t="n">
        <v>1.5</v>
      </c>
      <c r="G58" s="42">
        <f>IF(F58="","",F58/'Paramètres'!$C$10)</f>
        <v/>
      </c>
      <c r="H58" s="43">
        <f>CEILING(N(F58)*M58+L58,'Paramètres'!$C$12)</f>
        <v/>
      </c>
      <c r="I58" s="44">
        <f>H58*(1+'Paramètres'!$C$11)</f>
        <v/>
      </c>
      <c r="K58" s="34" t="inlineStr">
        <is>
          <t>Graphiste</t>
        </is>
      </c>
      <c r="L58" s="35" t="n">
        <v>0</v>
      </c>
      <c r="M58" s="36">
        <f>IFERROR(INDEX('Paramètres'!$C$17:$C$29,MATCH(K58,'Paramètres'!$B$17:$B$29,0)),0)</f>
        <v/>
      </c>
    </row>
    <row r="59" ht="28" customHeight="1">
      <c r="B59" s="26" t="inlineStr">
        <is>
          <t>03.07</t>
        </is>
      </c>
      <c r="C59" s="27" t="inlineStr">
        <is>
          <t>Affiche / poster</t>
        </is>
      </c>
      <c r="D59" s="28" t="inlineStr">
        <is>
          <t>Tout format</t>
        </is>
      </c>
      <c r="E59" s="29" t="inlineStr">
        <is>
          <t>forfait</t>
        </is>
      </c>
      <c r="F59" s="30" t="n">
        <v>4</v>
      </c>
      <c r="G59" s="31">
        <f>IF(F59="","",F59/'Paramètres'!$C$10)</f>
        <v/>
      </c>
      <c r="H59" s="32">
        <f>CEILING(N(F59)*M59+L59,'Paramètres'!$C$12)</f>
        <v/>
      </c>
      <c r="I59" s="33">
        <f>H59*(1+'Paramètres'!$C$11)</f>
        <v/>
      </c>
      <c r="K59" s="34" t="inlineStr">
        <is>
          <t>Graphiste</t>
        </is>
      </c>
      <c r="L59" s="35" t="n">
        <v>0</v>
      </c>
      <c r="M59" s="36">
        <f>IFERROR(INDEX('Paramètres'!$C$17:$C$29,MATCH(K59,'Paramètres'!$B$17:$B$29,0)),0)</f>
        <v/>
      </c>
    </row>
    <row r="60" ht="28" customHeight="1">
      <c r="B60" s="37" t="inlineStr">
        <is>
          <t>03.08</t>
        </is>
      </c>
      <c r="C60" s="38" t="inlineStr">
        <is>
          <t>Roll-up / kakémono</t>
        </is>
      </c>
      <c r="D60" s="39" t="inlineStr">
        <is>
          <t>Format standard 85 × 200 cm</t>
        </is>
      </c>
      <c r="E60" s="40" t="inlineStr">
        <is>
          <t>forfait</t>
        </is>
      </c>
      <c r="F60" s="41" t="n">
        <v>4</v>
      </c>
      <c r="G60" s="42">
        <f>IF(F60="","",F60/'Paramètres'!$C$10)</f>
        <v/>
      </c>
      <c r="H60" s="43">
        <f>CEILING(N(F60)*M60+L60,'Paramètres'!$C$12)</f>
        <v/>
      </c>
      <c r="I60" s="44">
        <f>H60*(1+'Paramètres'!$C$11)</f>
        <v/>
      </c>
      <c r="K60" s="34" t="inlineStr">
        <is>
          <t>Graphiste</t>
        </is>
      </c>
      <c r="L60" s="35" t="n">
        <v>0</v>
      </c>
      <c r="M60" s="36">
        <f>IFERROR(INDEX('Paramètres'!$C$17:$C$29,MATCH(K60,'Paramètres'!$B$17:$B$29,0)),0)</f>
        <v/>
      </c>
    </row>
    <row r="61" ht="28" customHeight="1">
      <c r="B61" s="26" t="inlineStr">
        <is>
          <t>03.09</t>
        </is>
      </c>
      <c r="C61" s="27" t="inlineStr">
        <is>
          <t>Bâche / banderole</t>
        </is>
      </c>
      <c r="D61" s="28" t="inlineStr">
        <is>
          <t>Grand format</t>
        </is>
      </c>
      <c r="E61" s="29" t="inlineStr">
        <is>
          <t>forfait</t>
        </is>
      </c>
      <c r="F61" s="30" t="n">
        <v>3</v>
      </c>
      <c r="G61" s="31">
        <f>IF(F61="","",F61/'Paramètres'!$C$10)</f>
        <v/>
      </c>
      <c r="H61" s="32">
        <f>CEILING(N(F61)*M61+L61,'Paramètres'!$C$12)</f>
        <v/>
      </c>
      <c r="I61" s="33">
        <f>H61*(1+'Paramètres'!$C$11)</f>
        <v/>
      </c>
      <c r="K61" s="34" t="inlineStr">
        <is>
          <t>Graphiste</t>
        </is>
      </c>
      <c r="L61" s="35" t="n">
        <v>0</v>
      </c>
      <c r="M61" s="36">
        <f>IFERROR(INDEX('Paramètres'!$C$17:$C$29,MATCH(K61,'Paramètres'!$B$17:$B$29,0)),0)</f>
        <v/>
      </c>
    </row>
    <row r="62" ht="28" customHeight="1">
      <c r="B62" s="37" t="inlineStr">
        <is>
          <t>03.10</t>
        </is>
      </c>
      <c r="C62" s="38" t="inlineStr">
        <is>
          <t>Annonce presse / magazine</t>
        </is>
      </c>
      <c r="D62" s="39" t="inlineStr">
        <is>
          <t>Création + déclinaisons formats</t>
        </is>
      </c>
      <c r="E62" s="40" t="inlineStr">
        <is>
          <t>forfait</t>
        </is>
      </c>
      <c r="F62" s="41" t="n">
        <v>3</v>
      </c>
      <c r="G62" s="42">
        <f>IF(F62="","",F62/'Paramètres'!$C$10)</f>
        <v/>
      </c>
      <c r="H62" s="43">
        <f>CEILING(N(F62)*M62+L62,'Paramètres'!$C$12)</f>
        <v/>
      </c>
      <c r="I62" s="44">
        <f>H62*(1+'Paramètres'!$C$11)</f>
        <v/>
      </c>
      <c r="K62" s="34" t="inlineStr">
        <is>
          <t>Graphiste</t>
        </is>
      </c>
      <c r="L62" s="35" t="n">
        <v>0</v>
      </c>
      <c r="M62" s="36">
        <f>IFERROR(INDEX('Paramètres'!$C$17:$C$29,MATCH(K62,'Paramètres'!$B$17:$B$29,0)),0)</f>
        <v/>
      </c>
    </row>
    <row r="63" ht="28" customHeight="1">
      <c r="B63" s="26" t="inlineStr">
        <is>
          <t>03.11</t>
        </is>
      </c>
      <c r="C63" s="27" t="inlineStr">
        <is>
          <t>Carton d'invitation</t>
        </is>
      </c>
      <c r="D63" s="28" t="inlineStr">
        <is>
          <t>Événement, portes ouvertes</t>
        </is>
      </c>
      <c r="E63" s="29" t="inlineStr">
        <is>
          <t>forfait</t>
        </is>
      </c>
      <c r="F63" s="30" t="n">
        <v>3</v>
      </c>
      <c r="G63" s="31">
        <f>IF(F63="","",F63/'Paramètres'!$C$10)</f>
        <v/>
      </c>
      <c r="H63" s="32">
        <f>CEILING(N(F63)*M63+L63,'Paramètres'!$C$12)</f>
        <v/>
      </c>
      <c r="I63" s="33">
        <f>H63*(1+'Paramètres'!$C$11)</f>
        <v/>
      </c>
      <c r="K63" s="34" t="inlineStr">
        <is>
          <t>Graphiste</t>
        </is>
      </c>
      <c r="L63" s="35" t="n">
        <v>0</v>
      </c>
      <c r="M63" s="36">
        <f>IFERROR(INDEX('Paramètres'!$C$17:$C$29,MATCH(K63,'Paramètres'!$B$17:$B$29,0)),0)</f>
        <v/>
      </c>
    </row>
    <row r="64" ht="28" customHeight="1">
      <c r="B64" s="37" t="inlineStr">
        <is>
          <t>03.12</t>
        </is>
      </c>
      <c r="C64" s="38" t="inlineStr">
        <is>
          <t>Packaging / étiquette</t>
        </is>
      </c>
      <c r="D64" s="39" t="inlineStr">
        <is>
          <t>Création d'un design de packaging</t>
        </is>
      </c>
      <c r="E64" s="40" t="inlineStr">
        <is>
          <t>forfait</t>
        </is>
      </c>
      <c r="F64" s="41" t="n">
        <v>16</v>
      </c>
      <c r="G64" s="42">
        <f>IF(F64="","",F64/'Paramètres'!$C$10)</f>
        <v/>
      </c>
      <c r="H64" s="43">
        <f>CEILING(N(F64)*M64+L64,'Paramètres'!$C$12)</f>
        <v/>
      </c>
      <c r="I64" s="44">
        <f>H64*(1+'Paramètres'!$C$11)</f>
        <v/>
      </c>
      <c r="K64" s="34" t="inlineStr">
        <is>
          <t>Graphiste</t>
        </is>
      </c>
      <c r="L64" s="35" t="n">
        <v>0</v>
      </c>
      <c r="M64" s="36">
        <f>IFERROR(INDEX('Paramètres'!$C$17:$C$29,MATCH(K64,'Paramètres'!$B$17:$B$29,0)),0)</f>
        <v/>
      </c>
    </row>
    <row r="65" ht="28" customHeight="1">
      <c r="B65" s="26" t="inlineStr">
        <is>
          <t>03.13</t>
        </is>
      </c>
      <c r="C65" s="27" t="inlineStr">
        <is>
          <t>Déclinaison / adaptation de format</t>
        </is>
      </c>
      <c r="D65" s="28" t="inlineStr">
        <is>
          <t>Adaptation d'un visuel existant</t>
        </is>
      </c>
      <c r="E65" s="29" t="inlineStr">
        <is>
          <t>forfait</t>
        </is>
      </c>
      <c r="F65" s="30" t="n">
        <v>1</v>
      </c>
      <c r="G65" s="31">
        <f>IF(F65="","",F65/'Paramètres'!$C$10)</f>
        <v/>
      </c>
      <c r="H65" s="32">
        <f>CEILING(N(F65)*M65+L65,'Paramètres'!$C$12)</f>
        <v/>
      </c>
      <c r="I65" s="33">
        <f>H65*(1+'Paramètres'!$C$11)</f>
        <v/>
      </c>
      <c r="K65" s="34" t="inlineStr">
        <is>
          <t>Graphiste</t>
        </is>
      </c>
      <c r="L65" s="35" t="n">
        <v>0</v>
      </c>
      <c r="M65" s="36">
        <f>IFERROR(INDEX('Paramètres'!$C$17:$C$29,MATCH(K65,'Paramètres'!$B$17:$B$29,0)),0)</f>
        <v/>
      </c>
    </row>
    <row r="66" ht="8" customHeight="1"/>
    <row r="67" ht="24" customHeight="1">
      <c r="B67" s="23" t="inlineStr">
        <is>
          <t>04</t>
        </is>
      </c>
      <c r="C67" s="24" t="inlineStr">
        <is>
          <t>SIGNALÉTIQUE, SALONS &amp; ÉVÉNEMENTIEL</t>
        </is>
      </c>
      <c r="D67" s="25" t="n"/>
      <c r="E67" s="25" t="n"/>
      <c r="F67" s="25" t="n"/>
      <c r="G67" s="25" t="n"/>
      <c r="H67" s="25" t="n"/>
      <c r="I67" s="25" t="n"/>
    </row>
    <row r="68" ht="28" customHeight="1">
      <c r="B68" s="26" t="inlineStr">
        <is>
          <t>04.01</t>
        </is>
      </c>
      <c r="C68" s="27" t="inlineStr">
        <is>
          <t>Stand salon / foire</t>
        </is>
      </c>
      <c r="D68" s="28" t="inlineStr">
        <is>
          <t>Conception graphique du stand</t>
        </is>
      </c>
      <c r="E68" s="29" t="inlineStr">
        <is>
          <t>forfait</t>
        </is>
      </c>
      <c r="F68" s="30" t="n">
        <v>16</v>
      </c>
      <c r="G68" s="31">
        <f>IF(F68="","",F68/'Paramètres'!$C$10)</f>
        <v/>
      </c>
      <c r="H68" s="32">
        <f>CEILING(N(F68)*M68+L68,'Paramètres'!$C$12)</f>
        <v/>
      </c>
      <c r="I68" s="33">
        <f>H68*(1+'Paramètres'!$C$11)</f>
        <v/>
      </c>
      <c r="K68" s="34" t="inlineStr">
        <is>
          <t>Graphiste</t>
        </is>
      </c>
      <c r="L68" s="35" t="n">
        <v>0</v>
      </c>
      <c r="M68" s="36">
        <f>IFERROR(INDEX('Paramètres'!$C$17:$C$29,MATCH(K68,'Paramètres'!$B$17:$B$29,0)),0)</f>
        <v/>
      </c>
    </row>
    <row r="69" ht="28" customHeight="1">
      <c r="B69" s="37" t="inlineStr">
        <is>
          <t>04.02</t>
        </is>
      </c>
      <c r="C69" s="38" t="inlineStr">
        <is>
          <t>Habillage véhicule</t>
        </is>
      </c>
      <c r="D69" s="39" t="inlineStr">
        <is>
          <t>Utilitaire ou voiture de service</t>
        </is>
      </c>
      <c r="E69" s="40" t="inlineStr">
        <is>
          <t>forfait</t>
        </is>
      </c>
      <c r="F69" s="41" t="n">
        <v>8</v>
      </c>
      <c r="G69" s="42">
        <f>IF(F69="","",F69/'Paramètres'!$C$10)</f>
        <v/>
      </c>
      <c r="H69" s="43">
        <f>CEILING(N(F69)*M69+L69,'Paramètres'!$C$12)</f>
        <v/>
      </c>
      <c r="I69" s="44">
        <f>H69*(1+'Paramètres'!$C$11)</f>
        <v/>
      </c>
      <c r="K69" s="34" t="inlineStr">
        <is>
          <t>Graphiste</t>
        </is>
      </c>
      <c r="L69" s="35" t="n">
        <v>0</v>
      </c>
      <c r="M69" s="36">
        <f>IFERROR(INDEX('Paramètres'!$C$17:$C$29,MATCH(K69,'Paramètres'!$B$17:$B$29,0)),0)</f>
        <v/>
      </c>
    </row>
    <row r="70" ht="28" customHeight="1">
      <c r="B70" s="26" t="inlineStr">
        <is>
          <t>04.03</t>
        </is>
      </c>
      <c r="C70" s="27" t="inlineStr">
        <is>
          <t>Vitrine / enseigne</t>
        </is>
      </c>
      <c r="D70" s="28" t="inlineStr">
        <is>
          <t>Design de façade ou vitrophanie</t>
        </is>
      </c>
      <c r="E70" s="29" t="inlineStr">
        <is>
          <t>forfait</t>
        </is>
      </c>
      <c r="F70" s="30" t="n">
        <v>6</v>
      </c>
      <c r="G70" s="31">
        <f>IF(F70="","",F70/'Paramètres'!$C$10)</f>
        <v/>
      </c>
      <c r="H70" s="32">
        <f>CEILING(N(F70)*M70+L70,'Paramètres'!$C$12)</f>
        <v/>
      </c>
      <c r="I70" s="33">
        <f>H70*(1+'Paramètres'!$C$11)</f>
        <v/>
      </c>
      <c r="K70" s="34" t="inlineStr">
        <is>
          <t>Graphiste</t>
        </is>
      </c>
      <c r="L70" s="35" t="n">
        <v>0</v>
      </c>
      <c r="M70" s="36">
        <f>IFERROR(INDEX('Paramètres'!$C$17:$C$29,MATCH(K70,'Paramètres'!$B$17:$B$29,0)),0)</f>
        <v/>
      </c>
    </row>
    <row r="71" ht="28" customHeight="1">
      <c r="B71" s="37" t="inlineStr">
        <is>
          <t>04.04</t>
        </is>
      </c>
      <c r="C71" s="38" t="inlineStr">
        <is>
          <t>Signalétique intérieure / showroom</t>
        </is>
      </c>
      <c r="D71" s="39" t="inlineStr">
        <is>
          <t>Panneaux, directionnel, PLV</t>
        </is>
      </c>
      <c r="E71" s="40" t="inlineStr">
        <is>
          <t>forfait</t>
        </is>
      </c>
      <c r="F71" s="41" t="n">
        <v>8</v>
      </c>
      <c r="G71" s="42">
        <f>IF(F71="","",F71/'Paramètres'!$C$10)</f>
        <v/>
      </c>
      <c r="H71" s="43">
        <f>CEILING(N(F71)*M71+L71,'Paramètres'!$C$12)</f>
        <v/>
      </c>
      <c r="I71" s="44">
        <f>H71*(1+'Paramètres'!$C$11)</f>
        <v/>
      </c>
      <c r="K71" s="34" t="inlineStr">
        <is>
          <t>Graphiste</t>
        </is>
      </c>
      <c r="L71" s="35" t="n">
        <v>0</v>
      </c>
      <c r="M71" s="36">
        <f>IFERROR(INDEX('Paramètres'!$C$17:$C$29,MATCH(K71,'Paramètres'!$B$17:$B$29,0)),0)</f>
        <v/>
      </c>
    </row>
    <row r="72" ht="28" customHeight="1">
      <c r="B72" s="26" t="inlineStr">
        <is>
          <t>04.05</t>
        </is>
      </c>
      <c r="C72" s="27" t="inlineStr">
        <is>
          <t>PLV / présentoir</t>
        </is>
      </c>
      <c r="D72" s="28" t="inlineStr">
        <is>
          <t>Présentoir comptoir ou sol</t>
        </is>
      </c>
      <c r="E72" s="29" t="inlineStr">
        <is>
          <t>forfait</t>
        </is>
      </c>
      <c r="F72" s="30" t="n">
        <v>6</v>
      </c>
      <c r="G72" s="31">
        <f>IF(F72="","",F72/'Paramètres'!$C$10)</f>
        <v/>
      </c>
      <c r="H72" s="32">
        <f>CEILING(N(F72)*M72+L72,'Paramètres'!$C$12)</f>
        <v/>
      </c>
      <c r="I72" s="33">
        <f>H72*(1+'Paramètres'!$C$11)</f>
        <v/>
      </c>
      <c r="K72" s="34" t="inlineStr">
        <is>
          <t>Graphiste</t>
        </is>
      </c>
      <c r="L72" s="35" t="n">
        <v>0</v>
      </c>
      <c r="M72" s="36">
        <f>IFERROR(INDEX('Paramètres'!$C$17:$C$29,MATCH(K72,'Paramètres'!$B$17:$B$29,0)),0)</f>
        <v/>
      </c>
    </row>
    <row r="73" ht="8" customHeight="1"/>
    <row r="74" ht="24" customHeight="1">
      <c r="B74" s="23" t="inlineStr">
        <is>
          <t>05</t>
        </is>
      </c>
      <c r="C74" s="24" t="inlineStr">
        <is>
          <t>ILLUSTRATION, 3D &amp; INFOGRAPHIE</t>
        </is>
      </c>
      <c r="D74" s="25" t="n"/>
      <c r="E74" s="25" t="n"/>
      <c r="F74" s="25" t="n"/>
      <c r="G74" s="25" t="n"/>
      <c r="H74" s="25" t="n"/>
      <c r="I74" s="25" t="n"/>
    </row>
    <row r="75" ht="28" customHeight="1">
      <c r="B75" s="26" t="inlineStr">
        <is>
          <t>05.01</t>
        </is>
      </c>
      <c r="C75" s="27" t="inlineStr">
        <is>
          <t>Illustration simple</t>
        </is>
      </c>
      <c r="D75" s="28" t="inlineStr">
        <is>
          <t>Pictogramme élaboré, dessin au trait</t>
        </is>
      </c>
      <c r="E75" s="29" t="inlineStr">
        <is>
          <t>forfait</t>
        </is>
      </c>
      <c r="F75" s="30" t="n">
        <v>3</v>
      </c>
      <c r="G75" s="31">
        <f>IF(F75="","",F75/'Paramètres'!$C$10)</f>
        <v/>
      </c>
      <c r="H75" s="32">
        <f>CEILING(N(F75)*M75+L75,'Paramètres'!$C$12)</f>
        <v/>
      </c>
      <c r="I75" s="33">
        <f>H75*(1+'Paramètres'!$C$11)</f>
        <v/>
      </c>
      <c r="K75" s="34" t="inlineStr">
        <is>
          <t>Illustrateur</t>
        </is>
      </c>
      <c r="L75" s="35" t="n">
        <v>0</v>
      </c>
      <c r="M75" s="36">
        <f>IFERROR(INDEX('Paramètres'!$C$17:$C$29,MATCH(K75,'Paramètres'!$B$17:$B$29,0)),0)</f>
        <v/>
      </c>
    </row>
    <row r="76" ht="28" customHeight="1">
      <c r="B76" s="37" t="inlineStr">
        <is>
          <t>05.02</t>
        </is>
      </c>
      <c r="C76" s="38" t="inlineStr">
        <is>
          <t>Illustration détaillée</t>
        </is>
      </c>
      <c r="D76" s="39" t="inlineStr">
        <is>
          <t>Illustration couleur complexe</t>
        </is>
      </c>
      <c r="E76" s="40" t="inlineStr">
        <is>
          <t>forfait</t>
        </is>
      </c>
      <c r="F76" s="41" t="n">
        <v>10</v>
      </c>
      <c r="G76" s="42">
        <f>IF(F76="","",F76/'Paramètres'!$C$10)</f>
        <v/>
      </c>
      <c r="H76" s="43">
        <f>CEILING(N(F76)*M76+L76,'Paramètres'!$C$12)</f>
        <v/>
      </c>
      <c r="I76" s="44">
        <f>H76*(1+'Paramètres'!$C$11)</f>
        <v/>
      </c>
      <c r="K76" s="34" t="inlineStr">
        <is>
          <t>Illustrateur</t>
        </is>
      </c>
      <c r="L76" s="35" t="n">
        <v>0</v>
      </c>
      <c r="M76" s="36">
        <f>IFERROR(INDEX('Paramètres'!$C$17:$C$29,MATCH(K76,'Paramètres'!$B$17:$B$29,0)),0)</f>
        <v/>
      </c>
    </row>
    <row r="77" ht="28" customHeight="1">
      <c r="B77" s="26" t="inlineStr">
        <is>
          <t>05.03</t>
        </is>
      </c>
      <c r="C77" s="27" t="inlineStr">
        <is>
          <t>Pack de 10 pictogrammes</t>
        </is>
      </c>
      <c r="D77" s="28" t="inlineStr">
        <is>
          <t>Set d'icônes cohérent</t>
        </is>
      </c>
      <c r="E77" s="29" t="inlineStr">
        <is>
          <t>forfait</t>
        </is>
      </c>
      <c r="F77" s="30" t="n">
        <v>8</v>
      </c>
      <c r="G77" s="31">
        <f>IF(F77="","",F77/'Paramètres'!$C$10)</f>
        <v/>
      </c>
      <c r="H77" s="32">
        <f>CEILING(N(F77)*M77+L77,'Paramètres'!$C$12)</f>
        <v/>
      </c>
      <c r="I77" s="33">
        <f>H77*(1+'Paramètres'!$C$11)</f>
        <v/>
      </c>
      <c r="K77" s="34" t="inlineStr">
        <is>
          <t>Illustrateur</t>
        </is>
      </c>
      <c r="L77" s="35" t="n">
        <v>0</v>
      </c>
      <c r="M77" s="36">
        <f>IFERROR(INDEX('Paramètres'!$C$17:$C$29,MATCH(K77,'Paramètres'!$B$17:$B$29,0)),0)</f>
        <v/>
      </c>
    </row>
    <row r="78" ht="28" customHeight="1">
      <c r="B78" s="37" t="inlineStr">
        <is>
          <t>05.04</t>
        </is>
      </c>
      <c r="C78" s="38" t="inlineStr">
        <is>
          <t>Infographie</t>
        </is>
      </c>
      <c r="D78" s="39" t="inlineStr">
        <is>
          <t>Schéma, données, processus</t>
        </is>
      </c>
      <c r="E78" s="40" t="inlineStr">
        <is>
          <t>forfait</t>
        </is>
      </c>
      <c r="F78" s="41" t="n">
        <v>6</v>
      </c>
      <c r="G78" s="42">
        <f>IF(F78="","",F78/'Paramètres'!$C$10)</f>
        <v/>
      </c>
      <c r="H78" s="43">
        <f>CEILING(N(F78)*M78+L78,'Paramètres'!$C$12)</f>
        <v/>
      </c>
      <c r="I78" s="44">
        <f>H78*(1+'Paramètres'!$C$11)</f>
        <v/>
      </c>
      <c r="K78" s="34" t="inlineStr">
        <is>
          <t>Graphiste</t>
        </is>
      </c>
      <c r="L78" s="35" t="n">
        <v>0</v>
      </c>
      <c r="M78" s="36">
        <f>IFERROR(INDEX('Paramètres'!$C$17:$C$29,MATCH(K78,'Paramètres'!$B$17:$B$29,0)),0)</f>
        <v/>
      </c>
    </row>
    <row r="79" ht="28" customHeight="1">
      <c r="B79" s="26" t="inlineStr">
        <is>
          <t>05.05</t>
        </is>
      </c>
      <c r="C79" s="27" t="inlineStr">
        <is>
          <t>Modélisation 3D &amp; rendu</t>
        </is>
      </c>
      <c r="D79" s="28" t="inlineStr">
        <is>
          <t>Modèle 3D + 3 rendus photoréalistes</t>
        </is>
      </c>
      <c r="E79" s="29" t="inlineStr">
        <is>
          <t>forfait</t>
        </is>
      </c>
      <c r="F79" s="30" t="n">
        <v>16</v>
      </c>
      <c r="G79" s="31">
        <f>IF(F79="","",F79/'Paramètres'!$C$10)</f>
        <v/>
      </c>
      <c r="H79" s="32">
        <f>CEILING(N(F79)*M79+L79,'Paramètres'!$C$12)</f>
        <v/>
      </c>
      <c r="I79" s="33">
        <f>H79*(1+'Paramètres'!$C$11)</f>
        <v/>
      </c>
      <c r="K79" s="34" t="inlineStr">
        <is>
          <t>Designer 3D</t>
        </is>
      </c>
      <c r="L79" s="35" t="n">
        <v>0</v>
      </c>
      <c r="M79" s="36">
        <f>IFERROR(INDEX('Paramètres'!$C$17:$C$29,MATCH(K79,'Paramètres'!$B$17:$B$29,0)),0)</f>
        <v/>
      </c>
    </row>
    <row r="80" ht="28" customHeight="1">
      <c r="B80" s="37" t="inlineStr">
        <is>
          <t>05.06</t>
        </is>
      </c>
      <c r="C80" s="38" t="inlineStr">
        <is>
          <t>Mockups / mises en situation</t>
        </is>
      </c>
      <c r="D80" s="39" t="inlineStr">
        <is>
          <t>3 visuels de présentation</t>
        </is>
      </c>
      <c r="E80" s="40" t="inlineStr">
        <is>
          <t>forfait</t>
        </is>
      </c>
      <c r="F80" s="41" t="n">
        <v>2</v>
      </c>
      <c r="G80" s="42">
        <f>IF(F80="","",F80/'Paramètres'!$C$10)</f>
        <v/>
      </c>
      <c r="H80" s="43">
        <f>CEILING(N(F80)*M80+L80,'Paramètres'!$C$12)</f>
        <v/>
      </c>
      <c r="I80" s="44">
        <f>H80*(1+'Paramètres'!$C$11)</f>
        <v/>
      </c>
      <c r="K80" s="34" t="inlineStr">
        <is>
          <t>Graphiste</t>
        </is>
      </c>
      <c r="L80" s="35" t="n">
        <v>0</v>
      </c>
      <c r="M80" s="36">
        <f>IFERROR(INDEX('Paramètres'!$C$17:$C$29,MATCH(K80,'Paramètres'!$B$17:$B$29,0)),0)</f>
        <v/>
      </c>
    </row>
    <row r="81" ht="8" customHeight="1"/>
    <row r="82" ht="24" customHeight="1">
      <c r="B82" s="23" t="inlineStr">
        <is>
          <t>06</t>
        </is>
      </c>
      <c r="C82" s="24" t="inlineStr">
        <is>
          <t>PHOTOGRAPHIE</t>
        </is>
      </c>
      <c r="D82" s="25" t="n"/>
      <c r="E82" s="25" t="n"/>
      <c r="F82" s="25" t="n"/>
      <c r="G82" s="25" t="n"/>
      <c r="H82" s="25" t="n"/>
      <c r="I82" s="25" t="n"/>
    </row>
    <row r="83" ht="28" customHeight="1">
      <c r="B83" s="26" t="inlineStr">
        <is>
          <t>06.01</t>
        </is>
      </c>
      <c r="C83" s="27" t="inlineStr">
        <is>
          <t>Shooting photo — demi-journée</t>
        </is>
      </c>
      <c r="D83" s="28" t="inlineStr">
        <is>
          <t>4 h sur site, 20 photos retouchées, matériel inclus</t>
        </is>
      </c>
      <c r="E83" s="29" t="inlineStr">
        <is>
          <t>demi-journée</t>
        </is>
      </c>
      <c r="F83" s="30" t="n">
        <v>4</v>
      </c>
      <c r="G83" s="31">
        <f>IF(F83="","",F83/'Paramètres'!$C$10)</f>
        <v/>
      </c>
      <c r="H83" s="32">
        <f>CEILING(N(F83)*M83+L83,'Paramètres'!$C$12)</f>
        <v/>
      </c>
      <c r="I83" s="33">
        <f>H83*(1+'Paramètres'!$C$11)</f>
        <v/>
      </c>
      <c r="K83" s="34" t="inlineStr">
        <is>
          <t>Photographe</t>
        </is>
      </c>
      <c r="L83" s="35" t="n">
        <v>50</v>
      </c>
      <c r="M83" s="36">
        <f>IFERROR(INDEX('Paramètres'!$C$17:$C$29,MATCH(K83,'Paramètres'!$B$17:$B$29,0)),0)</f>
        <v/>
      </c>
    </row>
    <row r="84" ht="28" customHeight="1">
      <c r="B84" s="37" t="inlineStr">
        <is>
          <t>06.02</t>
        </is>
      </c>
      <c r="C84" s="38" t="inlineStr">
        <is>
          <t>Shooting photo — journée</t>
        </is>
      </c>
      <c r="D84" s="39" t="inlineStr">
        <is>
          <t>8 h sur site, 40 photos retouchées, matériel inclus</t>
        </is>
      </c>
      <c r="E84" s="40" t="inlineStr">
        <is>
          <t>jour</t>
        </is>
      </c>
      <c r="F84" s="41" t="n">
        <v>8</v>
      </c>
      <c r="G84" s="42">
        <f>IF(F84="","",F84/'Paramètres'!$C$10)</f>
        <v/>
      </c>
      <c r="H84" s="43">
        <f>CEILING(N(F84)*M84+L84,'Paramètres'!$C$12)</f>
        <v/>
      </c>
      <c r="I84" s="44">
        <f>H84*(1+'Paramètres'!$C$11)</f>
        <v/>
      </c>
      <c r="K84" s="34" t="inlineStr">
        <is>
          <t>Photographe</t>
        </is>
      </c>
      <c r="L84" s="35" t="n">
        <v>80</v>
      </c>
      <c r="M84" s="36">
        <f>IFERROR(INDEX('Paramètres'!$C$17:$C$29,MATCH(K84,'Paramètres'!$B$17:$B$29,0)),0)</f>
        <v/>
      </c>
    </row>
    <row r="85" ht="28" customHeight="1">
      <c r="B85" s="26" t="inlineStr">
        <is>
          <t>06.03</t>
        </is>
      </c>
      <c r="C85" s="27" t="inlineStr">
        <is>
          <t>Packshot produit — par photo</t>
        </is>
      </c>
      <c r="D85" s="28" t="inlineStr">
        <is>
          <t>Fond blanc ou mise en scène</t>
        </is>
      </c>
      <c r="E85" s="29" t="inlineStr">
        <is>
          <t>photo</t>
        </is>
      </c>
      <c r="F85" s="30" t="n">
        <v>0.5</v>
      </c>
      <c r="G85" s="31">
        <f>IF(F85="","",F85/'Paramètres'!$C$10)</f>
        <v/>
      </c>
      <c r="H85" s="32">
        <f>CEILING(N(F85)*M85+L85,'Paramètres'!$C$12)</f>
        <v/>
      </c>
      <c r="I85" s="33">
        <f>H85*(1+'Paramètres'!$C$11)</f>
        <v/>
      </c>
      <c r="K85" s="34" t="inlineStr">
        <is>
          <t>Photographe</t>
        </is>
      </c>
      <c r="L85" s="35" t="n">
        <v>0</v>
      </c>
      <c r="M85" s="36">
        <f>IFERROR(INDEX('Paramètres'!$C$17:$C$29,MATCH(K85,'Paramètres'!$B$17:$B$29,0)),0)</f>
        <v/>
      </c>
    </row>
    <row r="86" ht="28" customHeight="1">
      <c r="B86" s="37" t="inlineStr">
        <is>
          <t>06.04</t>
        </is>
      </c>
      <c r="C86" s="38" t="inlineStr">
        <is>
          <t>Portraits corporate</t>
        </is>
      </c>
      <c r="D86" s="39" t="inlineStr">
        <is>
          <t>Équipe / dirigeants, jusqu'à 10 personnes</t>
        </is>
      </c>
      <c r="E86" s="40" t="inlineStr">
        <is>
          <t>forfait</t>
        </is>
      </c>
      <c r="F86" s="41" t="n">
        <v>4</v>
      </c>
      <c r="G86" s="42">
        <f>IF(F86="","",F86/'Paramètres'!$C$10)</f>
        <v/>
      </c>
      <c r="H86" s="43">
        <f>CEILING(N(F86)*M86+L86,'Paramètres'!$C$12)</f>
        <v/>
      </c>
      <c r="I86" s="44">
        <f>H86*(1+'Paramètres'!$C$11)</f>
        <v/>
      </c>
      <c r="K86" s="34" t="inlineStr">
        <is>
          <t>Photographe</t>
        </is>
      </c>
      <c r="L86" s="35" t="n">
        <v>50</v>
      </c>
      <c r="M86" s="36">
        <f>IFERROR(INDEX('Paramètres'!$C$17:$C$29,MATCH(K86,'Paramètres'!$B$17:$B$29,0)),0)</f>
        <v/>
      </c>
    </row>
    <row r="87" ht="28" customHeight="1">
      <c r="B87" s="26" t="inlineStr">
        <is>
          <t>06.05</t>
        </is>
      </c>
      <c r="C87" s="27" t="inlineStr">
        <is>
          <t>Reportage événement / chantier</t>
        </is>
      </c>
      <c r="D87" s="28" t="inlineStr">
        <is>
          <t>Couverture 4 h, sélection retouchée</t>
        </is>
      </c>
      <c r="E87" s="29" t="inlineStr">
        <is>
          <t>forfait</t>
        </is>
      </c>
      <c r="F87" s="30" t="n">
        <v>5</v>
      </c>
      <c r="G87" s="31">
        <f>IF(F87="","",F87/'Paramètres'!$C$10)</f>
        <v/>
      </c>
      <c r="H87" s="32">
        <f>CEILING(N(F87)*M87+L87,'Paramètres'!$C$12)</f>
        <v/>
      </c>
      <c r="I87" s="33">
        <f>H87*(1+'Paramètres'!$C$11)</f>
        <v/>
      </c>
      <c r="K87" s="34" t="inlineStr">
        <is>
          <t>Photographe</t>
        </is>
      </c>
      <c r="L87" s="35" t="n">
        <v>50</v>
      </c>
      <c r="M87" s="36">
        <f>IFERROR(INDEX('Paramètres'!$C$17:$C$29,MATCH(K87,'Paramètres'!$B$17:$B$29,0)),0)</f>
        <v/>
      </c>
    </row>
    <row r="88" ht="28" customHeight="1">
      <c r="B88" s="37" t="inlineStr">
        <is>
          <t>06.06</t>
        </is>
      </c>
      <c r="C88" s="38" t="inlineStr">
        <is>
          <t>Photo aérienne par drone</t>
        </is>
      </c>
      <c r="D88" s="39" t="inlineStr">
        <is>
          <t>Demi-journée, pilote certifié</t>
        </is>
      </c>
      <c r="E88" s="40" t="inlineStr">
        <is>
          <t>demi-journée</t>
        </is>
      </c>
      <c r="F88" s="41" t="n">
        <v>4</v>
      </c>
      <c r="G88" s="42">
        <f>IF(F88="","",F88/'Paramètres'!$C$10)</f>
        <v/>
      </c>
      <c r="H88" s="43">
        <f>CEILING(N(F88)*M88+L88,'Paramètres'!$C$12)</f>
        <v/>
      </c>
      <c r="I88" s="44">
        <f>H88*(1+'Paramètres'!$C$11)</f>
        <v/>
      </c>
      <c r="K88" s="34" t="inlineStr">
        <is>
          <t>Pilote drone</t>
        </is>
      </c>
      <c r="L88" s="35" t="n">
        <v>150</v>
      </c>
      <c r="M88" s="36">
        <f>IFERROR(INDEX('Paramètres'!$C$17:$C$29,MATCH(K88,'Paramètres'!$B$17:$B$29,0)),0)</f>
        <v/>
      </c>
    </row>
    <row r="89" ht="28" customHeight="1">
      <c r="B89" s="26" t="inlineStr">
        <is>
          <t>06.07</t>
        </is>
      </c>
      <c r="C89" s="27" t="inlineStr">
        <is>
          <t>Retouche avancée — par photo</t>
        </is>
      </c>
      <c r="D89" s="28" t="inlineStr">
        <is>
          <t>Détourage, montage, retouche poussée</t>
        </is>
      </c>
      <c r="E89" s="29" t="inlineStr">
        <is>
          <t>photo</t>
        </is>
      </c>
      <c r="F89" s="30" t="n">
        <v>0.5</v>
      </c>
      <c r="G89" s="31">
        <f>IF(F89="","",F89/'Paramètres'!$C$10)</f>
        <v/>
      </c>
      <c r="H89" s="32">
        <f>CEILING(N(F89)*M89+L89,'Paramètres'!$C$12)</f>
        <v/>
      </c>
      <c r="I89" s="33">
        <f>H89*(1+'Paramètres'!$C$11)</f>
        <v/>
      </c>
      <c r="K89" s="34" t="inlineStr">
        <is>
          <t>Photographe</t>
        </is>
      </c>
      <c r="L89" s="35" t="n">
        <v>0</v>
      </c>
      <c r="M89" s="36">
        <f>IFERROR(INDEX('Paramètres'!$C$17:$C$29,MATCH(K89,'Paramètres'!$B$17:$B$29,0)),0)</f>
        <v/>
      </c>
    </row>
    <row r="90" ht="8" customHeight="1"/>
    <row r="91" ht="24" customHeight="1">
      <c r="B91" s="23" t="inlineStr">
        <is>
          <t>07</t>
        </is>
      </c>
      <c r="C91" s="24" t="inlineStr">
        <is>
          <t>VIDÉO &amp; MOTION DESIGN</t>
        </is>
      </c>
      <c r="D91" s="25" t="n"/>
      <c r="E91" s="25" t="n"/>
      <c r="F91" s="25" t="n"/>
      <c r="G91" s="25" t="n"/>
      <c r="H91" s="25" t="n"/>
      <c r="I91" s="25" t="n"/>
    </row>
    <row r="92" ht="28" customHeight="1">
      <c r="B92" s="26" t="inlineStr">
        <is>
          <t>07.01</t>
        </is>
      </c>
      <c r="C92" s="27" t="inlineStr">
        <is>
          <t>Tournage — demi-journée</t>
        </is>
      </c>
      <c r="D92" s="28" t="inlineStr">
        <is>
          <t>Vidéaste + matériel (caméra, son, lumière)</t>
        </is>
      </c>
      <c r="E92" s="29" t="inlineStr">
        <is>
          <t>demi-journée</t>
        </is>
      </c>
      <c r="F92" s="30" t="n">
        <v>4</v>
      </c>
      <c r="G92" s="31">
        <f>IF(F92="","",F92/'Paramètres'!$C$10)</f>
        <v/>
      </c>
      <c r="H92" s="32">
        <f>CEILING(N(F92)*M92+L92,'Paramètres'!$C$12)</f>
        <v/>
      </c>
      <c r="I92" s="33">
        <f>H92*(1+'Paramètres'!$C$11)</f>
        <v/>
      </c>
      <c r="K92" s="34" t="inlineStr">
        <is>
          <t>Vidéaste</t>
        </is>
      </c>
      <c r="L92" s="35" t="n">
        <v>100</v>
      </c>
      <c r="M92" s="36">
        <f>IFERROR(INDEX('Paramètres'!$C$17:$C$29,MATCH(K92,'Paramètres'!$B$17:$B$29,0)),0)</f>
        <v/>
      </c>
    </row>
    <row r="93" ht="28" customHeight="1">
      <c r="B93" s="37" t="inlineStr">
        <is>
          <t>07.02</t>
        </is>
      </c>
      <c r="C93" s="38" t="inlineStr">
        <is>
          <t>Tournage — journée</t>
        </is>
      </c>
      <c r="D93" s="39" t="inlineStr">
        <is>
          <t>Vidéaste + matériel (caméra, son, lumière)</t>
        </is>
      </c>
      <c r="E93" s="40" t="inlineStr">
        <is>
          <t>jour</t>
        </is>
      </c>
      <c r="F93" s="41" t="n">
        <v>8</v>
      </c>
      <c r="G93" s="42">
        <f>IF(F93="","",F93/'Paramètres'!$C$10)</f>
        <v/>
      </c>
      <c r="H93" s="43">
        <f>CEILING(N(F93)*M93+L93,'Paramètres'!$C$12)</f>
        <v/>
      </c>
      <c r="I93" s="44">
        <f>H93*(1+'Paramètres'!$C$11)</f>
        <v/>
      </c>
      <c r="K93" s="34" t="inlineStr">
        <is>
          <t>Vidéaste</t>
        </is>
      </c>
      <c r="L93" s="35" t="n">
        <v>150</v>
      </c>
      <c r="M93" s="36">
        <f>IFERROR(INDEX('Paramètres'!$C$17:$C$29,MATCH(K93,'Paramètres'!$B$17:$B$29,0)),0)</f>
        <v/>
      </c>
    </row>
    <row r="94" ht="28" customHeight="1">
      <c r="B94" s="26" t="inlineStr">
        <is>
          <t>07.03</t>
        </is>
      </c>
      <c r="C94" s="27" t="inlineStr">
        <is>
          <t>Prises de vue drone</t>
        </is>
      </c>
      <c r="D94" s="28" t="inlineStr">
        <is>
          <t>Demi-journée, pilote certifié</t>
        </is>
      </c>
      <c r="E94" s="29" t="inlineStr">
        <is>
          <t>demi-journée</t>
        </is>
      </c>
      <c r="F94" s="30" t="n">
        <v>4</v>
      </c>
      <c r="G94" s="31">
        <f>IF(F94="","",F94/'Paramètres'!$C$10)</f>
        <v/>
      </c>
      <c r="H94" s="32">
        <f>CEILING(N(F94)*M94+L94,'Paramètres'!$C$12)</f>
        <v/>
      </c>
      <c r="I94" s="33">
        <f>H94*(1+'Paramètres'!$C$11)</f>
        <v/>
      </c>
      <c r="K94" s="34" t="inlineStr">
        <is>
          <t>Pilote drone</t>
        </is>
      </c>
      <c r="L94" s="35" t="n">
        <v>150</v>
      </c>
      <c r="M94" s="36">
        <f>IFERROR(INDEX('Paramètres'!$C$17:$C$29,MATCH(K94,'Paramètres'!$B$17:$B$29,0)),0)</f>
        <v/>
      </c>
    </row>
    <row r="95" ht="28" customHeight="1">
      <c r="B95" s="37" t="inlineStr">
        <is>
          <t>07.04</t>
        </is>
      </c>
      <c r="C95" s="38" t="inlineStr">
        <is>
          <t>Heure de montage</t>
        </is>
      </c>
      <c r="D95" s="39" t="inlineStr">
        <is>
          <t>Montage, étalonnage, mixage</t>
        </is>
      </c>
      <c r="E95" s="40" t="inlineStr">
        <is>
          <t>heure</t>
        </is>
      </c>
      <c r="F95" s="41" t="n">
        <v>1</v>
      </c>
      <c r="G95" s="42">
        <f>IF(F95="","",F95/'Paramètres'!$C$10)</f>
        <v/>
      </c>
      <c r="H95" s="43">
        <f>CEILING(N(F95)*M95+L95,'Paramètres'!$C$12)</f>
        <v/>
      </c>
      <c r="I95" s="44">
        <f>H95*(1+'Paramètres'!$C$11)</f>
        <v/>
      </c>
      <c r="K95" s="34" t="inlineStr">
        <is>
          <t>Monteur / motion designer</t>
        </is>
      </c>
      <c r="L95" s="35" t="n">
        <v>0</v>
      </c>
      <c r="M95" s="36">
        <f>IFERROR(INDEX('Paramètres'!$C$17:$C$29,MATCH(K95,'Paramètres'!$B$17:$B$29,0)),0)</f>
        <v/>
      </c>
    </row>
    <row r="96" ht="28" customHeight="1">
      <c r="B96" s="26" t="inlineStr">
        <is>
          <t>07.05</t>
        </is>
      </c>
      <c r="C96" s="27" t="inlineStr">
        <is>
          <t>Film de présentation 1–2 min</t>
        </is>
      </c>
      <c r="D96" s="28" t="inlineStr">
        <is>
          <t>Montage complet, 2 allers-retours</t>
        </is>
      </c>
      <c r="E96" s="29" t="inlineStr">
        <is>
          <t>forfait</t>
        </is>
      </c>
      <c r="F96" s="30" t="n">
        <v>16</v>
      </c>
      <c r="G96" s="31">
        <f>IF(F96="","",F96/'Paramètres'!$C$10)</f>
        <v/>
      </c>
      <c r="H96" s="32">
        <f>CEILING(N(F96)*M96+L96,'Paramètres'!$C$12)</f>
        <v/>
      </c>
      <c r="I96" s="33">
        <f>H96*(1+'Paramètres'!$C$11)</f>
        <v/>
      </c>
      <c r="K96" s="34" t="inlineStr">
        <is>
          <t>Monteur / motion designer</t>
        </is>
      </c>
      <c r="L96" s="35" t="n">
        <v>0</v>
      </c>
      <c r="M96" s="36">
        <f>IFERROR(INDEX('Paramètres'!$C$17:$C$29,MATCH(K96,'Paramètres'!$B$17:$B$29,0)),0)</f>
        <v/>
      </c>
    </row>
    <row r="97" ht="28" customHeight="1">
      <c r="B97" s="37" t="inlineStr">
        <is>
          <t>07.06</t>
        </is>
      </c>
      <c r="C97" s="38" t="inlineStr">
        <is>
          <t>Vidéo témoignage client</t>
        </is>
      </c>
      <c r="D97" s="39" t="inlineStr">
        <is>
          <t>Interview montée, 1–2 min</t>
        </is>
      </c>
      <c r="E97" s="40" t="inlineStr">
        <is>
          <t>forfait</t>
        </is>
      </c>
      <c r="F97" s="41" t="n">
        <v>8</v>
      </c>
      <c r="G97" s="42">
        <f>IF(F97="","",F97/'Paramètres'!$C$10)</f>
        <v/>
      </c>
      <c r="H97" s="43">
        <f>CEILING(N(F97)*M97+L97,'Paramètres'!$C$12)</f>
        <v/>
      </c>
      <c r="I97" s="44">
        <f>H97*(1+'Paramètres'!$C$11)</f>
        <v/>
      </c>
      <c r="K97" s="34" t="inlineStr">
        <is>
          <t>Monteur / motion designer</t>
        </is>
      </c>
      <c r="L97" s="35" t="n">
        <v>0</v>
      </c>
      <c r="M97" s="36">
        <f>IFERROR(INDEX('Paramètres'!$C$17:$C$29,MATCH(K97,'Paramètres'!$B$17:$B$29,0)),0)</f>
        <v/>
      </c>
    </row>
    <row r="98" ht="28" customHeight="1">
      <c r="B98" s="26" t="inlineStr">
        <is>
          <t>07.07</t>
        </is>
      </c>
      <c r="C98" s="27" t="inlineStr">
        <is>
          <t>Réel / short réseaux sociaux</t>
        </is>
      </c>
      <c r="D98" s="28" t="inlineStr">
        <is>
          <t>Format vertical ≤ 60 s</t>
        </is>
      </c>
      <c r="E98" s="29" t="inlineStr">
        <is>
          <t>forfait</t>
        </is>
      </c>
      <c r="F98" s="30" t="n">
        <v>3</v>
      </c>
      <c r="G98" s="31">
        <f>IF(F98="","",F98/'Paramètres'!$C$10)</f>
        <v/>
      </c>
      <c r="H98" s="32">
        <f>CEILING(N(F98)*M98+L98,'Paramètres'!$C$12)</f>
        <v/>
      </c>
      <c r="I98" s="33">
        <f>H98*(1+'Paramètres'!$C$11)</f>
        <v/>
      </c>
      <c r="K98" s="34" t="inlineStr">
        <is>
          <t>Monteur / motion designer</t>
        </is>
      </c>
      <c r="L98" s="35" t="n">
        <v>0</v>
      </c>
      <c r="M98" s="36">
        <f>IFERROR(INDEX('Paramètres'!$C$17:$C$29,MATCH(K98,'Paramètres'!$B$17:$B$29,0)),0)</f>
        <v/>
      </c>
    </row>
    <row r="99" ht="28" customHeight="1">
      <c r="B99" s="37" t="inlineStr">
        <is>
          <t>07.08</t>
        </is>
      </c>
      <c r="C99" s="38" t="inlineStr">
        <is>
          <t>Motion design 30 s</t>
        </is>
      </c>
      <c r="D99" s="39" t="inlineStr">
        <is>
          <t>Animation 2D, script et storyboard inclus</t>
        </is>
      </c>
      <c r="E99" s="40" t="inlineStr">
        <is>
          <t>forfait</t>
        </is>
      </c>
      <c r="F99" s="41" t="n">
        <v>24</v>
      </c>
      <c r="G99" s="42">
        <f>IF(F99="","",F99/'Paramètres'!$C$10)</f>
        <v/>
      </c>
      <c r="H99" s="43">
        <f>CEILING(N(F99)*M99+L99,'Paramètres'!$C$12)</f>
        <v/>
      </c>
      <c r="I99" s="44">
        <f>H99*(1+'Paramètres'!$C$11)</f>
        <v/>
      </c>
      <c r="K99" s="34" t="inlineStr">
        <is>
          <t>Monteur / motion designer</t>
        </is>
      </c>
      <c r="L99" s="35" t="n">
        <v>0</v>
      </c>
      <c r="M99" s="36">
        <f>IFERROR(INDEX('Paramètres'!$C$17:$C$29,MATCH(K99,'Paramètres'!$B$17:$B$29,0)),0)</f>
        <v/>
      </c>
    </row>
    <row r="100" ht="28" customHeight="1">
      <c r="B100" s="26" t="inlineStr">
        <is>
          <t>07.09</t>
        </is>
      </c>
      <c r="C100" s="27" t="inlineStr">
        <is>
          <t>Animation de logo</t>
        </is>
      </c>
      <c r="D100" s="28" t="inlineStr">
        <is>
          <t>Logo animé (intro / outro)</t>
        </is>
      </c>
      <c r="E100" s="29" t="inlineStr">
        <is>
          <t>forfait</t>
        </is>
      </c>
      <c r="F100" s="30" t="n">
        <v>6</v>
      </c>
      <c r="G100" s="31">
        <f>IF(F100="","",F100/'Paramètres'!$C$10)</f>
        <v/>
      </c>
      <c r="H100" s="32">
        <f>CEILING(N(F100)*M100+L100,'Paramètres'!$C$12)</f>
        <v/>
      </c>
      <c r="I100" s="33">
        <f>H100*(1+'Paramètres'!$C$11)</f>
        <v/>
      </c>
      <c r="K100" s="34" t="inlineStr">
        <is>
          <t>Monteur / motion designer</t>
        </is>
      </c>
      <c r="L100" s="35" t="n">
        <v>0</v>
      </c>
      <c r="M100" s="36">
        <f>IFERROR(INDEX('Paramètres'!$C$17:$C$29,MATCH(K100,'Paramètres'!$B$17:$B$29,0)),0)</f>
        <v/>
      </c>
    </row>
    <row r="101" ht="28" customHeight="1">
      <c r="B101" s="37" t="inlineStr">
        <is>
          <t>07.10</t>
        </is>
      </c>
      <c r="C101" s="38" t="inlineStr">
        <is>
          <t>Animation 3D</t>
        </is>
      </c>
      <c r="D101" s="39" t="inlineStr">
        <is>
          <t>Visualisation produit / installation</t>
        </is>
      </c>
      <c r="E101" s="40" t="inlineStr">
        <is>
          <t>forfait</t>
        </is>
      </c>
      <c r="F101" s="41" t="n">
        <v>24</v>
      </c>
      <c r="G101" s="42">
        <f>IF(F101="","",F101/'Paramètres'!$C$10)</f>
        <v/>
      </c>
      <c r="H101" s="43">
        <f>CEILING(N(F101)*M101+L101,'Paramètres'!$C$12)</f>
        <v/>
      </c>
      <c r="I101" s="44">
        <f>H101*(1+'Paramètres'!$C$11)</f>
        <v/>
      </c>
      <c r="K101" s="34" t="inlineStr">
        <is>
          <t>Designer 3D</t>
        </is>
      </c>
      <c r="L101" s="35" t="n">
        <v>0</v>
      </c>
      <c r="M101" s="36">
        <f>IFERROR(INDEX('Paramètres'!$C$17:$C$29,MATCH(K101,'Paramètres'!$B$17:$B$29,0)),0)</f>
        <v/>
      </c>
    </row>
    <row r="102" ht="28" customHeight="1">
      <c r="B102" s="26" t="inlineStr">
        <is>
          <t>07.11</t>
        </is>
      </c>
      <c r="C102" s="27" t="inlineStr">
        <is>
          <t>Sous-titrage</t>
        </is>
      </c>
      <c r="D102" s="28" t="inlineStr">
        <is>
          <t>Par vidéo, 1 langue</t>
        </is>
      </c>
      <c r="E102" s="29" t="inlineStr">
        <is>
          <t>forfait</t>
        </is>
      </c>
      <c r="F102" s="30" t="n">
        <v>2</v>
      </c>
      <c r="G102" s="31">
        <f>IF(F102="","",F102/'Paramètres'!$C$10)</f>
        <v/>
      </c>
      <c r="H102" s="32">
        <f>CEILING(N(F102)*M102+L102,'Paramètres'!$C$12)</f>
        <v/>
      </c>
      <c r="I102" s="33">
        <f>H102*(1+'Paramètres'!$C$11)</f>
        <v/>
      </c>
      <c r="K102" s="34" t="inlineStr">
        <is>
          <t>Monteur / motion designer</t>
        </is>
      </c>
      <c r="L102" s="35" t="n">
        <v>0</v>
      </c>
      <c r="M102" s="36">
        <f>IFERROR(INDEX('Paramètres'!$C$17:$C$29,MATCH(K102,'Paramètres'!$B$17:$B$29,0)),0)</f>
        <v/>
      </c>
    </row>
    <row r="103" ht="28" customHeight="1">
      <c r="B103" s="37" t="inlineStr">
        <is>
          <t>07.12</t>
        </is>
      </c>
      <c r="C103" s="38" t="inlineStr">
        <is>
          <t>Voix off professionnelle</t>
        </is>
      </c>
      <c r="D103" s="39" t="inlineStr">
        <is>
          <t>Comédien voix, 1 langue</t>
        </is>
      </c>
      <c r="E103" s="40" t="inlineStr">
        <is>
          <t>forfait</t>
        </is>
      </c>
      <c r="F103" s="41" t="n">
        <v>1</v>
      </c>
      <c r="G103" s="42">
        <f>IF(F103="","",F103/'Paramètres'!$C$10)</f>
        <v/>
      </c>
      <c r="H103" s="43">
        <f>CEILING(N(F103)*M103+L103,'Paramètres'!$C$12)</f>
        <v/>
      </c>
      <c r="I103" s="44">
        <f>H103*(1+'Paramètres'!$C$11)</f>
        <v/>
      </c>
      <c r="K103" s="34" t="inlineStr">
        <is>
          <t>Monteur / motion designer</t>
        </is>
      </c>
      <c r="L103" s="35" t="n">
        <v>150</v>
      </c>
      <c r="M103" s="36">
        <f>IFERROR(INDEX('Paramètres'!$C$17:$C$29,MATCH(K103,'Paramètres'!$B$17:$B$29,0)),0)</f>
        <v/>
      </c>
    </row>
    <row r="104" ht="28" customHeight="1">
      <c r="B104" s="26" t="inlineStr">
        <is>
          <t>07.13</t>
        </is>
      </c>
      <c r="C104" s="27" t="inlineStr">
        <is>
          <t>Musique sous licence</t>
        </is>
      </c>
      <c r="D104" s="28" t="inlineStr">
        <is>
          <t>Droits d'utilisation web</t>
        </is>
      </c>
      <c r="E104" s="29" t="inlineStr">
        <is>
          <t>forfait</t>
        </is>
      </c>
      <c r="F104" s="30" t="n"/>
      <c r="G104" s="31">
        <f>IF(F104="","",F104/'Paramètres'!$C$10)</f>
        <v/>
      </c>
      <c r="H104" s="32">
        <f>CEILING(N(F104)*M104+L104,'Paramètres'!$C$12)</f>
        <v/>
      </c>
      <c r="I104" s="33">
        <f>H104*(1+'Paramètres'!$C$11)</f>
        <v/>
      </c>
      <c r="K104" s="34" t="inlineStr">
        <is>
          <t>Monteur / motion designer</t>
        </is>
      </c>
      <c r="L104" s="35" t="n">
        <v>50</v>
      </c>
      <c r="M104" s="36">
        <f>IFERROR(INDEX('Paramètres'!$C$17:$C$29,MATCH(K104,'Paramètres'!$B$17:$B$29,0)),0)</f>
        <v/>
      </c>
    </row>
    <row r="105" ht="8" customHeight="1"/>
    <row r="106" ht="24" customHeight="1">
      <c r="B106" s="23" t="inlineStr">
        <is>
          <t>08</t>
        </is>
      </c>
      <c r="C106" s="24" t="inlineStr">
        <is>
          <t>WEB &amp; DIGITAL</t>
        </is>
      </c>
      <c r="D106" s="25" t="n"/>
      <c r="E106" s="25" t="n"/>
      <c r="F106" s="25" t="n"/>
      <c r="G106" s="25" t="n"/>
      <c r="H106" s="25" t="n"/>
      <c r="I106" s="25" t="n"/>
    </row>
    <row r="107" ht="28" customHeight="1">
      <c r="B107" s="26" t="inlineStr">
        <is>
          <t>08.01</t>
        </is>
      </c>
      <c r="C107" s="27" t="inlineStr">
        <is>
          <t>Webdesign UI/UX — par page</t>
        </is>
      </c>
      <c r="D107" s="28" t="inlineStr">
        <is>
          <t>Maquette desktop + mobile</t>
        </is>
      </c>
      <c r="E107" s="29" t="inlineStr">
        <is>
          <t>page</t>
        </is>
      </c>
      <c r="F107" s="30" t="n">
        <v>6</v>
      </c>
      <c r="G107" s="31">
        <f>IF(F107="","",F107/'Paramètres'!$C$10)</f>
        <v/>
      </c>
      <c r="H107" s="32">
        <f>CEILING(N(F107)*M107+L107,'Paramètres'!$C$12)</f>
        <v/>
      </c>
      <c r="I107" s="33">
        <f>H107*(1+'Paramètres'!$C$11)</f>
        <v/>
      </c>
      <c r="K107" s="34" t="inlineStr">
        <is>
          <t>Webdesigner UI/UX</t>
        </is>
      </c>
      <c r="L107" s="35" t="n">
        <v>0</v>
      </c>
      <c r="M107" s="36">
        <f>IFERROR(INDEX('Paramètres'!$C$17:$C$29,MATCH(K107,'Paramètres'!$B$17:$B$29,0)),0)</f>
        <v/>
      </c>
    </row>
    <row r="108" ht="28" customHeight="1">
      <c r="B108" s="37" t="inlineStr">
        <is>
          <t>08.02</t>
        </is>
      </c>
      <c r="C108" s="38" t="inlineStr">
        <is>
          <t>Site vitrine (5–7 pages)</t>
        </is>
      </c>
      <c r="D108" s="39" t="inlineStr">
        <is>
          <t>Design + développement WordPress, responsive</t>
        </is>
      </c>
      <c r="E108" s="40" t="inlineStr">
        <is>
          <t>forfait</t>
        </is>
      </c>
      <c r="F108" s="41" t="n">
        <v>48</v>
      </c>
      <c r="G108" s="42">
        <f>IF(F108="","",F108/'Paramètres'!$C$10)</f>
        <v/>
      </c>
      <c r="H108" s="43">
        <f>CEILING(N(F108)*M108+L108,'Paramètres'!$C$12)</f>
        <v/>
      </c>
      <c r="I108" s="44">
        <f>H108*(1+'Paramètres'!$C$11)</f>
        <v/>
      </c>
      <c r="K108" s="34" t="inlineStr">
        <is>
          <t>Développeur web</t>
        </is>
      </c>
      <c r="L108" s="35" t="n">
        <v>0</v>
      </c>
      <c r="M108" s="36">
        <f>IFERROR(INDEX('Paramètres'!$C$17:$C$29,MATCH(K108,'Paramètres'!$B$17:$B$29,0)),0)</f>
        <v/>
      </c>
    </row>
    <row r="109" ht="28" customHeight="1">
      <c r="B109" s="26" t="inlineStr">
        <is>
          <t>08.03</t>
        </is>
      </c>
      <c r="C109" s="27" t="inlineStr">
        <is>
          <t>Site e-commerce</t>
        </is>
      </c>
      <c r="D109" s="28" t="inlineStr">
        <is>
          <t>Boutique en ligne, paiement, jusqu'à 50 produits</t>
        </is>
      </c>
      <c r="E109" s="29" t="inlineStr">
        <is>
          <t>forfait</t>
        </is>
      </c>
      <c r="F109" s="30" t="n">
        <v>100</v>
      </c>
      <c r="G109" s="31">
        <f>IF(F109="","",F109/'Paramètres'!$C$10)</f>
        <v/>
      </c>
      <c r="H109" s="32">
        <f>CEILING(N(F109)*M109+L109,'Paramètres'!$C$12)</f>
        <v/>
      </c>
      <c r="I109" s="33">
        <f>H109*(1+'Paramètres'!$C$11)</f>
        <v/>
      </c>
      <c r="K109" s="34" t="inlineStr">
        <is>
          <t>Développeur web</t>
        </is>
      </c>
      <c r="L109" s="35" t="n">
        <v>0</v>
      </c>
      <c r="M109" s="36">
        <f>IFERROR(INDEX('Paramètres'!$C$17:$C$29,MATCH(K109,'Paramètres'!$B$17:$B$29,0)),0)</f>
        <v/>
      </c>
    </row>
    <row r="110" ht="28" customHeight="1">
      <c r="B110" s="37" t="inlineStr">
        <is>
          <t>08.04</t>
        </is>
      </c>
      <c r="C110" s="38" t="inlineStr">
        <is>
          <t>Landing page</t>
        </is>
      </c>
      <c r="D110" s="39" t="inlineStr">
        <is>
          <t>Page promotionnelle / campagne</t>
        </is>
      </c>
      <c r="E110" s="40" t="inlineStr">
        <is>
          <t>forfait</t>
        </is>
      </c>
      <c r="F110" s="41" t="n">
        <v>12</v>
      </c>
      <c r="G110" s="42">
        <f>IF(F110="","",F110/'Paramètres'!$C$10)</f>
        <v/>
      </c>
      <c r="H110" s="43">
        <f>CEILING(N(F110)*M110+L110,'Paramètres'!$C$12)</f>
        <v/>
      </c>
      <c r="I110" s="44">
        <f>H110*(1+'Paramètres'!$C$11)</f>
        <v/>
      </c>
      <c r="K110" s="34" t="inlineStr">
        <is>
          <t>Développeur web</t>
        </is>
      </c>
      <c r="L110" s="35" t="n">
        <v>0</v>
      </c>
      <c r="M110" s="36">
        <f>IFERROR(INDEX('Paramètres'!$C$17:$C$29,MATCH(K110,'Paramètres'!$B$17:$B$29,0)),0)</f>
        <v/>
      </c>
    </row>
    <row r="111" ht="28" customHeight="1">
      <c r="B111" s="26" t="inlineStr">
        <is>
          <t>08.05</t>
        </is>
      </c>
      <c r="C111" s="27" t="inlineStr">
        <is>
          <t>Rédaction web — par page</t>
        </is>
      </c>
      <c r="D111" s="28" t="inlineStr">
        <is>
          <t>Textes optimisés SEO</t>
        </is>
      </c>
      <c r="E111" s="29" t="inlineStr">
        <is>
          <t>page</t>
        </is>
      </c>
      <c r="F111" s="30" t="n">
        <v>2</v>
      </c>
      <c r="G111" s="31">
        <f>IF(F111="","",F111/'Paramètres'!$C$10)</f>
        <v/>
      </c>
      <c r="H111" s="32">
        <f>CEILING(N(F111)*M111+L111,'Paramètres'!$C$12)</f>
        <v/>
      </c>
      <c r="I111" s="33">
        <f>H111*(1+'Paramètres'!$C$11)</f>
        <v/>
      </c>
      <c r="K111" s="34" t="inlineStr">
        <is>
          <t>Rédacteur / copywriter</t>
        </is>
      </c>
      <c r="L111" s="35" t="n">
        <v>0</v>
      </c>
      <c r="M111" s="36">
        <f>IFERROR(INDEX('Paramètres'!$C$17:$C$29,MATCH(K111,'Paramètres'!$B$17:$B$29,0)),0)</f>
        <v/>
      </c>
    </row>
    <row r="112" ht="28" customHeight="1">
      <c r="B112" s="37" t="inlineStr">
        <is>
          <t>08.06</t>
        </is>
      </c>
      <c r="C112" s="38" t="inlineStr">
        <is>
          <t>Audit &amp; optimisation SEO</t>
        </is>
      </c>
      <c r="D112" s="39" t="inlineStr">
        <is>
          <t>Analyse technique + recommandations</t>
        </is>
      </c>
      <c r="E112" s="40" t="inlineStr">
        <is>
          <t>forfait</t>
        </is>
      </c>
      <c r="F112" s="41" t="n">
        <v>10</v>
      </c>
      <c r="G112" s="42">
        <f>IF(F112="","",F112/'Paramètres'!$C$10)</f>
        <v/>
      </c>
      <c r="H112" s="43">
        <f>CEILING(N(F112)*M112+L112,'Paramètres'!$C$12)</f>
        <v/>
      </c>
      <c r="I112" s="44">
        <f>H112*(1+'Paramètres'!$C$11)</f>
        <v/>
      </c>
      <c r="K112" s="34" t="inlineStr">
        <is>
          <t>Développeur web</t>
        </is>
      </c>
      <c r="L112" s="35" t="n">
        <v>0</v>
      </c>
      <c r="M112" s="36">
        <f>IFERROR(INDEX('Paramètres'!$C$17:$C$29,MATCH(K112,'Paramètres'!$B$17:$B$29,0)),0)</f>
        <v/>
      </c>
    </row>
    <row r="113" ht="28" customHeight="1">
      <c r="B113" s="26" t="inlineStr">
        <is>
          <t>08.07</t>
        </is>
      </c>
      <c r="C113" s="27" t="inlineStr">
        <is>
          <t>Template newsletter</t>
        </is>
      </c>
      <c r="D113" s="28" t="inlineStr">
        <is>
          <t>Modèle e-mailing responsive</t>
        </is>
      </c>
      <c r="E113" s="29" t="inlineStr">
        <is>
          <t>forfait</t>
        </is>
      </c>
      <c r="F113" s="30" t="n">
        <v>6</v>
      </c>
      <c r="G113" s="31">
        <f>IF(F113="","",F113/'Paramètres'!$C$10)</f>
        <v/>
      </c>
      <c r="H113" s="32">
        <f>CEILING(N(F113)*M113+L113,'Paramètres'!$C$12)</f>
        <v/>
      </c>
      <c r="I113" s="33">
        <f>H113*(1+'Paramètres'!$C$11)</f>
        <v/>
      </c>
      <c r="K113" s="34" t="inlineStr">
        <is>
          <t>Webdesigner UI/UX</t>
        </is>
      </c>
      <c r="L113" s="35" t="n">
        <v>0</v>
      </c>
      <c r="M113" s="36">
        <f>IFERROR(INDEX('Paramètres'!$C$17:$C$29,MATCH(K113,'Paramètres'!$B$17:$B$29,0)),0)</f>
        <v/>
      </c>
    </row>
    <row r="114" ht="28" customHeight="1">
      <c r="B114" s="37" t="inlineStr">
        <is>
          <t>08.08</t>
        </is>
      </c>
      <c r="C114" s="38" t="inlineStr">
        <is>
          <t>Formation back-office</t>
        </is>
      </c>
      <c r="D114" s="39" t="inlineStr">
        <is>
          <t>Prise en main du site (2 h)</t>
        </is>
      </c>
      <c r="E114" s="40" t="inlineStr">
        <is>
          <t>forfait</t>
        </is>
      </c>
      <c r="F114" s="41" t="n">
        <v>2</v>
      </c>
      <c r="G114" s="42">
        <f>IF(F114="","",F114/'Paramètres'!$C$10)</f>
        <v/>
      </c>
      <c r="H114" s="43">
        <f>CEILING(N(F114)*M114+L114,'Paramètres'!$C$12)</f>
        <v/>
      </c>
      <c r="I114" s="44">
        <f>H114*(1+'Paramètres'!$C$11)</f>
        <v/>
      </c>
      <c r="K114" s="34" t="inlineStr">
        <is>
          <t>Développeur web</t>
        </is>
      </c>
      <c r="L114" s="35" t="n">
        <v>0</v>
      </c>
      <c r="M114" s="36">
        <f>IFERROR(INDEX('Paramètres'!$C$17:$C$29,MATCH(K114,'Paramètres'!$B$17:$B$29,0)),0)</f>
        <v/>
      </c>
    </row>
    <row r="115" ht="28" customHeight="1">
      <c r="B115" s="26" t="inlineStr">
        <is>
          <t>08.09</t>
        </is>
      </c>
      <c r="C115" s="27" t="inlineStr">
        <is>
          <t>Maintenance &amp; mises à jour</t>
        </is>
      </c>
      <c r="D115" s="28" t="inlineStr">
        <is>
          <t>Sécurité, sauvegardes, petites modifications</t>
        </is>
      </c>
      <c r="E115" s="29" t="inlineStr">
        <is>
          <t>mois</t>
        </is>
      </c>
      <c r="F115" s="30" t="n">
        <v>2</v>
      </c>
      <c r="G115" s="31">
        <f>IF(F115="","",F115/'Paramètres'!$C$10)</f>
        <v/>
      </c>
      <c r="H115" s="32">
        <f>CEILING(N(F115)*M115+L115,'Paramètres'!$C$12)</f>
        <v/>
      </c>
      <c r="I115" s="33">
        <f>H115*(1+'Paramètres'!$C$11)</f>
        <v/>
      </c>
      <c r="K115" s="34" t="inlineStr">
        <is>
          <t>Développeur web</t>
        </is>
      </c>
      <c r="L115" s="35" t="n">
        <v>0</v>
      </c>
      <c r="M115" s="36">
        <f>IFERROR(INDEX('Paramètres'!$C$17:$C$29,MATCH(K115,'Paramètres'!$B$17:$B$29,0)),0)</f>
        <v/>
      </c>
    </row>
    <row r="116" ht="28" customHeight="1">
      <c r="B116" s="37" t="inlineStr">
        <is>
          <t>08.10</t>
        </is>
      </c>
      <c r="C116" s="38" t="inlineStr">
        <is>
          <t>Hébergement web</t>
        </is>
      </c>
      <c r="D116" s="39" t="inlineStr">
        <is>
          <t>Hébergement + certificat SSL</t>
        </is>
      </c>
      <c r="E116" s="40" t="inlineStr">
        <is>
          <t>an</t>
        </is>
      </c>
      <c r="F116" s="41" t="n"/>
      <c r="G116" s="42">
        <f>IF(F116="","",F116/'Paramètres'!$C$10)</f>
        <v/>
      </c>
      <c r="H116" s="43">
        <f>CEILING(N(F116)*M116+L116,'Paramètres'!$C$12)</f>
        <v/>
      </c>
      <c r="I116" s="44">
        <f>H116*(1+'Paramètres'!$C$11)</f>
        <v/>
      </c>
      <c r="K116" s="34" t="inlineStr">
        <is>
          <t>Développeur web</t>
        </is>
      </c>
      <c r="L116" s="35" t="n">
        <v>180</v>
      </c>
      <c r="M116" s="36">
        <f>IFERROR(INDEX('Paramètres'!$C$17:$C$29,MATCH(K116,'Paramètres'!$B$17:$B$29,0)),0)</f>
        <v/>
      </c>
    </row>
    <row r="117" ht="28" customHeight="1">
      <c r="B117" s="26" t="inlineStr">
        <is>
          <t>08.11</t>
        </is>
      </c>
      <c r="C117" s="27" t="inlineStr">
        <is>
          <t>Nom de domaine</t>
        </is>
      </c>
      <c r="D117" s="28" t="inlineStr">
        <is>
          <t>Enregistrement / renouvellement</t>
        </is>
      </c>
      <c r="E117" s="29" t="inlineStr">
        <is>
          <t>an</t>
        </is>
      </c>
      <c r="F117" s="30" t="n"/>
      <c r="G117" s="31">
        <f>IF(F117="","",F117/'Paramètres'!$C$10)</f>
        <v/>
      </c>
      <c r="H117" s="32">
        <f>CEILING(N(F117)*M117+L117,'Paramètres'!$C$12)</f>
        <v/>
      </c>
      <c r="I117" s="33">
        <f>H117*(1+'Paramètres'!$C$11)</f>
        <v/>
      </c>
      <c r="K117" s="34" t="inlineStr">
        <is>
          <t>Développeur web</t>
        </is>
      </c>
      <c r="L117" s="35" t="n">
        <v>25</v>
      </c>
      <c r="M117" s="36">
        <f>IFERROR(INDEX('Paramètres'!$C$17:$C$29,MATCH(K117,'Paramètres'!$B$17:$B$29,0)),0)</f>
        <v/>
      </c>
    </row>
    <row r="118" ht="8" customHeight="1"/>
    <row r="119" ht="24" customHeight="1">
      <c r="B119" s="23" t="inlineStr">
        <is>
          <t>09</t>
        </is>
      </c>
      <c r="C119" s="24" t="inlineStr">
        <is>
          <t>RÉSEAUX SOCIAUX &amp; CONTENU</t>
        </is>
      </c>
      <c r="D119" s="25" t="n"/>
      <c r="E119" s="25" t="n"/>
      <c r="F119" s="25" t="n"/>
      <c r="G119" s="25" t="n"/>
      <c r="H119" s="25" t="n"/>
      <c r="I119" s="25" t="n"/>
    </row>
    <row r="120" ht="28" customHeight="1">
      <c r="B120" s="26" t="inlineStr">
        <is>
          <t>09.01</t>
        </is>
      </c>
      <c r="C120" s="27" t="inlineStr">
        <is>
          <t>Stratégie social media</t>
        </is>
      </c>
      <c r="D120" s="28" t="inlineStr">
        <is>
          <t>Audit, ligne éditoriale, calendrier</t>
        </is>
      </c>
      <c r="E120" s="29" t="inlineStr">
        <is>
          <t>forfait</t>
        </is>
      </c>
      <c r="F120" s="30" t="n">
        <v>12</v>
      </c>
      <c r="G120" s="31">
        <f>IF(F120="","",F120/'Paramètres'!$C$10)</f>
        <v/>
      </c>
      <c r="H120" s="32">
        <f>CEILING(N(F120)*M120+L120,'Paramètres'!$C$12)</f>
        <v/>
      </c>
      <c r="I120" s="33">
        <f>H120*(1+'Paramètres'!$C$11)</f>
        <v/>
      </c>
      <c r="K120" s="34" t="inlineStr">
        <is>
          <t>Community manager</t>
        </is>
      </c>
      <c r="L120" s="35" t="n">
        <v>0</v>
      </c>
      <c r="M120" s="36">
        <f>IFERROR(INDEX('Paramètres'!$C$17:$C$29,MATCH(K120,'Paramètres'!$B$17:$B$29,0)),0)</f>
        <v/>
      </c>
    </row>
    <row r="121" ht="28" customHeight="1">
      <c r="B121" s="37" t="inlineStr">
        <is>
          <t>09.02</t>
        </is>
      </c>
      <c r="C121" s="38" t="inlineStr">
        <is>
          <t>Création / optimisation des comptes</t>
        </is>
      </c>
      <c r="D121" s="39" t="inlineStr">
        <is>
          <t>Facebook, Instagram, LinkedIn</t>
        </is>
      </c>
      <c r="E121" s="40" t="inlineStr">
        <is>
          <t>forfait</t>
        </is>
      </c>
      <c r="F121" s="41" t="n">
        <v>4</v>
      </c>
      <c r="G121" s="42">
        <f>IF(F121="","",F121/'Paramètres'!$C$10)</f>
        <v/>
      </c>
      <c r="H121" s="43">
        <f>CEILING(N(F121)*M121+L121,'Paramètres'!$C$12)</f>
        <v/>
      </c>
      <c r="I121" s="44">
        <f>H121*(1+'Paramètres'!$C$11)</f>
        <v/>
      </c>
      <c r="K121" s="34" t="inlineStr">
        <is>
          <t>Community manager</t>
        </is>
      </c>
      <c r="L121" s="35" t="n">
        <v>0</v>
      </c>
      <c r="M121" s="36">
        <f>IFERROR(INDEX('Paramètres'!$C$17:$C$29,MATCH(K121,'Paramètres'!$B$17:$B$29,0)),0)</f>
        <v/>
      </c>
    </row>
    <row r="122" ht="28" customHeight="1">
      <c r="B122" s="26" t="inlineStr">
        <is>
          <t>09.03</t>
        </is>
      </c>
      <c r="C122" s="27" t="inlineStr">
        <is>
          <t>Gestion réseaux sociaux</t>
        </is>
      </c>
      <c r="D122" s="28" t="inlineStr">
        <is>
          <t>8 publications / mois + modération</t>
        </is>
      </c>
      <c r="E122" s="29" t="inlineStr">
        <is>
          <t>mois</t>
        </is>
      </c>
      <c r="F122" s="30" t="n">
        <v>16</v>
      </c>
      <c r="G122" s="31">
        <f>IF(F122="","",F122/'Paramètres'!$C$10)</f>
        <v/>
      </c>
      <c r="H122" s="32">
        <f>CEILING(N(F122)*M122+L122,'Paramètres'!$C$12)</f>
        <v/>
      </c>
      <c r="I122" s="33">
        <f>H122*(1+'Paramètres'!$C$11)</f>
        <v/>
      </c>
      <c r="K122" s="34" t="inlineStr">
        <is>
          <t>Community manager</t>
        </is>
      </c>
      <c r="L122" s="35" t="n">
        <v>0</v>
      </c>
      <c r="M122" s="36">
        <f>IFERROR(INDEX('Paramètres'!$C$17:$C$29,MATCH(K122,'Paramètres'!$B$17:$B$29,0)),0)</f>
        <v/>
      </c>
    </row>
    <row r="123" ht="28" customHeight="1">
      <c r="B123" s="37" t="inlineStr">
        <is>
          <t>09.04</t>
        </is>
      </c>
      <c r="C123" s="38" t="inlineStr">
        <is>
          <t>Pack 10 visuels réseaux sociaux</t>
        </is>
      </c>
      <c r="D123" s="39" t="inlineStr">
        <is>
          <t>Templates aux couleurs de la marque</t>
        </is>
      </c>
      <c r="E123" s="40" t="inlineStr">
        <is>
          <t>forfait</t>
        </is>
      </c>
      <c r="F123" s="41" t="n">
        <v>6</v>
      </c>
      <c r="G123" s="42">
        <f>IF(F123="","",F123/'Paramètres'!$C$10)</f>
        <v/>
      </c>
      <c r="H123" s="43">
        <f>CEILING(N(F123)*M123+L123,'Paramètres'!$C$12)</f>
        <v/>
      </c>
      <c r="I123" s="44">
        <f>H123*(1+'Paramètres'!$C$11)</f>
        <v/>
      </c>
      <c r="K123" s="34" t="inlineStr">
        <is>
          <t>Graphiste</t>
        </is>
      </c>
      <c r="L123" s="35" t="n">
        <v>0</v>
      </c>
      <c r="M123" s="36">
        <f>IFERROR(INDEX('Paramètres'!$C$17:$C$29,MATCH(K123,'Paramètres'!$B$17:$B$29,0)),0)</f>
        <v/>
      </c>
    </row>
    <row r="124" ht="28" customHeight="1">
      <c r="B124" s="26" t="inlineStr">
        <is>
          <t>09.05</t>
        </is>
      </c>
      <c r="C124" s="27" t="inlineStr">
        <is>
          <t>Campagne publicitaire — mise en place</t>
        </is>
      </c>
      <c r="D124" s="28" t="inlineStr">
        <is>
          <t>Meta / Google Ads, ciblage, visuels</t>
        </is>
      </c>
      <c r="E124" s="29" t="inlineStr">
        <is>
          <t>forfait</t>
        </is>
      </c>
      <c r="F124" s="30" t="n">
        <v>6</v>
      </c>
      <c r="G124" s="31">
        <f>IF(F124="","",F124/'Paramètres'!$C$10)</f>
        <v/>
      </c>
      <c r="H124" s="32">
        <f>CEILING(N(F124)*M124+L124,'Paramètres'!$C$12)</f>
        <v/>
      </c>
      <c r="I124" s="33">
        <f>H124*(1+'Paramètres'!$C$11)</f>
        <v/>
      </c>
      <c r="K124" s="34" t="inlineStr">
        <is>
          <t>Community manager</t>
        </is>
      </c>
      <c r="L124" s="35" t="n">
        <v>0</v>
      </c>
      <c r="M124" s="36">
        <f>IFERROR(INDEX('Paramètres'!$C$17:$C$29,MATCH(K124,'Paramètres'!$B$17:$B$29,0)),0)</f>
        <v/>
      </c>
    </row>
    <row r="125" ht="28" customHeight="1">
      <c r="B125" s="37" t="inlineStr">
        <is>
          <t>09.06</t>
        </is>
      </c>
      <c r="C125" s="38" t="inlineStr">
        <is>
          <t>Campagne publicitaire — gestion</t>
        </is>
      </c>
      <c r="D125" s="39" t="inlineStr">
        <is>
          <t>Suivi et optimisation (hors budget média)</t>
        </is>
      </c>
      <c r="E125" s="40" t="inlineStr">
        <is>
          <t>mois</t>
        </is>
      </c>
      <c r="F125" s="41" t="n">
        <v>4</v>
      </c>
      <c r="G125" s="42">
        <f>IF(F125="","",F125/'Paramètres'!$C$10)</f>
        <v/>
      </c>
      <c r="H125" s="43">
        <f>CEILING(N(F125)*M125+L125,'Paramètres'!$C$12)</f>
        <v/>
      </c>
      <c r="I125" s="44">
        <f>H125*(1+'Paramètres'!$C$11)</f>
        <v/>
      </c>
      <c r="K125" s="34" t="inlineStr">
        <is>
          <t>Community manager</t>
        </is>
      </c>
      <c r="L125" s="35" t="n">
        <v>0</v>
      </c>
      <c r="M125" s="36">
        <f>IFERROR(INDEX('Paramètres'!$C$17:$C$29,MATCH(K125,'Paramètres'!$B$17:$B$29,0)),0)</f>
        <v/>
      </c>
    </row>
    <row r="126" ht="28" customHeight="1">
      <c r="B126" s="26" t="inlineStr">
        <is>
          <t>09.07</t>
        </is>
      </c>
      <c r="C126" s="27" t="inlineStr">
        <is>
          <t>Newsletter / e-mailing</t>
        </is>
      </c>
      <c r="D126" s="28" t="inlineStr">
        <is>
          <t>Rédaction + mise en page + envoi</t>
        </is>
      </c>
      <c r="E126" s="29" t="inlineStr">
        <is>
          <t>forfait</t>
        </is>
      </c>
      <c r="F126" s="30" t="n">
        <v>4</v>
      </c>
      <c r="G126" s="31">
        <f>IF(F126="","",F126/'Paramètres'!$C$10)</f>
        <v/>
      </c>
      <c r="H126" s="32">
        <f>CEILING(N(F126)*M126+L126,'Paramètres'!$C$12)</f>
        <v/>
      </c>
      <c r="I126" s="33">
        <f>H126*(1+'Paramètres'!$C$11)</f>
        <v/>
      </c>
      <c r="K126" s="34" t="inlineStr">
        <is>
          <t>Community manager</t>
        </is>
      </c>
      <c r="L126" s="35" t="n">
        <v>0</v>
      </c>
      <c r="M126" s="36">
        <f>IFERROR(INDEX('Paramètres'!$C$17:$C$29,MATCH(K126,'Paramètres'!$B$17:$B$29,0)),0)</f>
        <v/>
      </c>
    </row>
    <row r="127" ht="28" customHeight="1">
      <c r="B127" s="37" t="inlineStr">
        <is>
          <t>09.08</t>
        </is>
      </c>
      <c r="C127" s="38" t="inlineStr">
        <is>
          <t>Article de blog</t>
        </is>
      </c>
      <c r="D127" s="39" t="inlineStr">
        <is>
          <t>800 à 1 000 mots, optimisé SEO</t>
        </is>
      </c>
      <c r="E127" s="40" t="inlineStr">
        <is>
          <t>forfait</t>
        </is>
      </c>
      <c r="F127" s="41" t="n">
        <v>3</v>
      </c>
      <c r="G127" s="42">
        <f>IF(F127="","",F127/'Paramètres'!$C$10)</f>
        <v/>
      </c>
      <c r="H127" s="43">
        <f>CEILING(N(F127)*M127+L127,'Paramètres'!$C$12)</f>
        <v/>
      </c>
      <c r="I127" s="44">
        <f>H127*(1+'Paramètres'!$C$11)</f>
        <v/>
      </c>
      <c r="K127" s="34" t="inlineStr">
        <is>
          <t>Rédacteur / copywriter</t>
        </is>
      </c>
      <c r="L127" s="35" t="n">
        <v>0</v>
      </c>
      <c r="M127" s="36">
        <f>IFERROR(INDEX('Paramètres'!$C$17:$C$29,MATCH(K127,'Paramètres'!$B$17:$B$29,0)),0)</f>
        <v/>
      </c>
    </row>
    <row r="128" ht="28" customHeight="1">
      <c r="B128" s="26" t="inlineStr">
        <is>
          <t>09.09</t>
        </is>
      </c>
      <c r="C128" s="27" t="inlineStr">
        <is>
          <t>Communiqué de presse</t>
        </is>
      </c>
      <c r="D128" s="28" t="inlineStr">
        <is>
          <t>Rédaction + liste de diffusion</t>
        </is>
      </c>
      <c r="E128" s="29" t="inlineStr">
        <is>
          <t>forfait</t>
        </is>
      </c>
      <c r="F128" s="30" t="n">
        <v>4</v>
      </c>
      <c r="G128" s="31">
        <f>IF(F128="","",F128/'Paramètres'!$C$10)</f>
        <v/>
      </c>
      <c r="H128" s="32">
        <f>CEILING(N(F128)*M128+L128,'Paramètres'!$C$12)</f>
        <v/>
      </c>
      <c r="I128" s="33">
        <f>H128*(1+'Paramètres'!$C$11)</f>
        <v/>
      </c>
      <c r="K128" s="34" t="inlineStr">
        <is>
          <t>Rédacteur / copywriter</t>
        </is>
      </c>
      <c r="L128" s="35" t="n">
        <v>0</v>
      </c>
      <c r="M128" s="36">
        <f>IFERROR(INDEX('Paramètres'!$C$17:$C$29,MATCH(K128,'Paramètres'!$B$17:$B$29,0)),0)</f>
        <v/>
      </c>
    </row>
    <row r="129" ht="28" customHeight="1">
      <c r="B129" s="37" t="inlineStr">
        <is>
          <t>09.10</t>
        </is>
      </c>
      <c r="C129" s="38" t="inlineStr">
        <is>
          <t>Rapport de performance</t>
        </is>
      </c>
      <c r="D129" s="39" t="inlineStr">
        <is>
          <t>Statistiques mensuelles commentées</t>
        </is>
      </c>
      <c r="E129" s="40" t="inlineStr">
        <is>
          <t>mois</t>
        </is>
      </c>
      <c r="F129" s="41" t="n">
        <v>2</v>
      </c>
      <c r="G129" s="42">
        <f>IF(F129="","",F129/'Paramètres'!$C$10)</f>
        <v/>
      </c>
      <c r="H129" s="43">
        <f>CEILING(N(F129)*M129+L129,'Paramètres'!$C$12)</f>
        <v/>
      </c>
      <c r="I129" s="44">
        <f>H129*(1+'Paramètres'!$C$11)</f>
        <v/>
      </c>
      <c r="K129" s="34" t="inlineStr">
        <is>
          <t>Community manager</t>
        </is>
      </c>
      <c r="L129" s="35" t="n">
        <v>0</v>
      </c>
      <c r="M129" s="36">
        <f>IFERROR(INDEX('Paramètres'!$C$17:$C$29,MATCH(K129,'Paramètres'!$B$17:$B$29,0)),0)</f>
        <v/>
      </c>
    </row>
    <row r="130" ht="8" customHeight="1"/>
    <row r="131" ht="24" customHeight="1">
      <c r="B131" s="23" t="inlineStr">
        <is>
          <t>10</t>
        </is>
      </c>
      <c r="C131" s="24" t="inlineStr">
        <is>
          <t>PRODUCTION &amp; IMPRESSION</t>
        </is>
      </c>
      <c r="D131" s="25" t="n"/>
      <c r="E131" s="25" t="n"/>
      <c r="F131" s="25" t="n"/>
      <c r="G131" s="25" t="n"/>
      <c r="H131" s="25" t="n"/>
      <c r="I131" s="25" t="n"/>
    </row>
    <row r="132" ht="28" customHeight="1">
      <c r="B132" s="26" t="inlineStr">
        <is>
          <t>10.01</t>
        </is>
      </c>
      <c r="C132" s="27" t="inlineStr">
        <is>
          <t>Suivi de fabrication</t>
        </is>
      </c>
      <c r="D132" s="28" t="inlineStr">
        <is>
          <t>Demande de devis imprimeurs, BAT, contrôle</t>
        </is>
      </c>
      <c r="E132" s="29" t="inlineStr">
        <is>
          <t>heure</t>
        </is>
      </c>
      <c r="F132" s="30" t="n">
        <v>1</v>
      </c>
      <c r="G132" s="31">
        <f>IF(F132="","",F132/'Paramètres'!$C$10)</f>
        <v/>
      </c>
      <c r="H132" s="32">
        <f>CEILING(N(F132)*M132+L132,'Paramètres'!$C$12)</f>
        <v/>
      </c>
      <c r="I132" s="33">
        <f>H132*(1+'Paramètres'!$C$11)</f>
        <v/>
      </c>
      <c r="K132" s="34" t="inlineStr">
        <is>
          <t>Chef de projet</t>
        </is>
      </c>
      <c r="L132" s="35" t="n">
        <v>0</v>
      </c>
      <c r="M132" s="36">
        <f>IFERROR(INDEX('Paramètres'!$C$17:$C$29,MATCH(K132,'Paramètres'!$B$17:$B$29,0)),0)</f>
        <v/>
      </c>
    </row>
    <row r="133" ht="28" customHeight="1">
      <c r="B133" s="37" t="inlineStr">
        <is>
          <t>10.02</t>
        </is>
      </c>
      <c r="C133" s="38" t="inlineStr">
        <is>
          <t>Impression</t>
        </is>
      </c>
      <c r="D133" s="39" t="inlineStr">
        <is>
          <t>Tarif selon quantités, formats et supports</t>
        </is>
      </c>
      <c r="E133" s="40" t="inlineStr">
        <is>
          <t>sur devis</t>
        </is>
      </c>
      <c r="F133" s="41" t="n"/>
      <c r="G133" s="42">
        <f>IF(F133="","",F133/'Paramètres'!$C$10)</f>
        <v/>
      </c>
      <c r="H133" s="43" t="n">
        <v>0</v>
      </c>
      <c r="I133" s="44" t="n">
        <v>0</v>
      </c>
      <c r="K133" s="34" t="inlineStr">
        <is>
          <t>Chef de projet</t>
        </is>
      </c>
      <c r="L133" s="35" t="n">
        <v>0</v>
      </c>
      <c r="M133" s="36">
        <f>IFERROR(INDEX('Paramètres'!$C$17:$C$29,MATCH(K133,'Paramètres'!$B$17:$B$29,0)),0)</f>
        <v/>
      </c>
    </row>
    <row r="136">
      <c r="B136" s="45" t="inlineStr">
        <is>
          <t>CONDITIONS</t>
        </is>
      </c>
      <c r="C136" s="46" t="n"/>
      <c r="D136" s="46" t="n"/>
      <c r="E136" s="46" t="n"/>
      <c r="F136" s="46" t="n"/>
      <c r="G136" s="46" t="n"/>
      <c r="H136" s="46" t="n"/>
      <c r="I136" s="46" t="n"/>
    </row>
    <row r="137" ht="26" customHeight="1">
      <c r="B137" s="47" t="inlineStr">
        <is>
          <t>•</t>
        </is>
      </c>
      <c r="C137" s="48" t="inlineStr">
        <is>
          <t>Prix exprimés en euros hors TVA ; le prix TVAC est donné à titre indicatif.</t>
        </is>
      </c>
    </row>
    <row r="138" ht="26" customHeight="1">
      <c r="B138" s="47" t="inlineStr">
        <is>
          <t>•</t>
        </is>
      </c>
      <c r="C138" s="48" t="inlineStr">
        <is>
          <t>Chaque projet fait l'objet d'un devis détaillé ; les durées (heures, j/h) sont des estimations.</t>
        </is>
      </c>
    </row>
    <row r="139" ht="26" customHeight="1">
      <c r="B139" s="47" t="inlineStr">
        <is>
          <t>•</t>
        </is>
      </c>
      <c r="C139" s="48" t="inlineStr">
        <is>
          <t>Sauf mention contraire, les créations comprennent 2 allers-retours de corrections. Toute modification supplémentaire est facturée au taux horaire.</t>
        </is>
      </c>
    </row>
    <row r="140" ht="26" customHeight="1">
      <c r="B140" s="47" t="inlineStr">
        <is>
          <t>•</t>
        </is>
      </c>
      <c r="C140" s="48" t="inlineStr">
        <is>
          <t>Non inclus : frais d'impression, budget média publicitaire, achat de photos ou de polices sous licence, frais de déplacement hors Belgique.</t>
        </is>
      </c>
    </row>
    <row r="141" ht="26" customHeight="1">
      <c r="B141" s="47" t="inlineStr">
        <is>
          <t>•</t>
        </is>
      </c>
      <c r="C141" s="48" t="inlineStr">
        <is>
          <t>Acompte de 30 % à la commande, solde à la livraison. Paiement à 30 jours date de facture.</t>
        </is>
      </c>
    </row>
    <row r="142" ht="26" customHeight="1">
      <c r="B142" s="47" t="inlineStr">
        <is>
          <t>•</t>
        </is>
      </c>
      <c r="C142" s="48" t="inlineStr">
        <is>
          <t>Les droits d'utilisation des créations sont cédés au client après paiement intégral.</t>
        </is>
      </c>
    </row>
    <row r="144">
      <c r="B144" s="49">
        <f>'Paramètres'!C5&amp;"  ·  "&amp;'Paramètres'!C6</f>
        <v/>
      </c>
    </row>
  </sheetData>
  <mergeCells count="24">
    <mergeCell ref="B144:I144"/>
    <mergeCell ref="B14:G14"/>
    <mergeCell ref="B17:G17"/>
    <mergeCell ref="B23:G23"/>
    <mergeCell ref="B3:I3"/>
    <mergeCell ref="B13:G13"/>
    <mergeCell ref="B19:G19"/>
    <mergeCell ref="C140:I140"/>
    <mergeCell ref="B2:I2"/>
    <mergeCell ref="B15:G15"/>
    <mergeCell ref="B24:G24"/>
    <mergeCell ref="C141:I141"/>
    <mergeCell ref="B20:G20"/>
    <mergeCell ref="C137:I137"/>
    <mergeCell ref="B16:G16"/>
    <mergeCell ref="C142:I142"/>
    <mergeCell ref="B22:G22"/>
    <mergeCell ref="C139:I139"/>
    <mergeCell ref="B12:G12"/>
    <mergeCell ref="B18:G18"/>
    <mergeCell ref="B21:G21"/>
    <mergeCell ref="C138:I138"/>
    <mergeCell ref="B4:I4"/>
    <mergeCell ref="B11:G11"/>
  </mergeCells>
  <dataValidations count="1">
    <dataValidation sqref="K29:K133" showDropDown="0" showInputMessage="0" showErrorMessage="0" allowBlank="1" type="list">
      <formula1>='Paramètres'!$B$17:$B$29</formula1>
    </dataValidation>
  </dataValidations>
  <pageMargins left="0.4" right="0.4" top="1" bottom="1" header="0.5" footer="0.5"/>
  <pageSetup orientation="portrait" paperSize="9" fitToHeight="0" fitToWidth="1"/>
  <headerFooter>
    <oddHeader/>
    <oddFooter>&amp;CPage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44" customWidth="1" min="3" max="3"/>
    <col width="20" customWidth="1" min="4" max="4"/>
  </cols>
  <sheetData>
    <row r="2">
      <c r="B2" s="50" t="inlineStr">
        <is>
          <t>PARAMÈTRES — usage interne</t>
        </is>
      </c>
    </row>
    <row r="3">
      <c r="B3" s="51" t="inlineStr">
        <is>
          <t>Modifiez uniquement les cellules en bleu sur fond jaune. La price list se met à jour automatiquement.</t>
        </is>
      </c>
    </row>
    <row r="5">
      <c r="B5" s="52" t="inlineStr">
        <is>
          <t>Nom de l'agence</t>
        </is>
      </c>
      <c r="C5" s="53" t="inlineStr">
        <is>
          <t>[NOM DE VOTRE AGENCE]</t>
        </is>
      </c>
    </row>
    <row r="6">
      <c r="B6" s="52" t="inlineStr">
        <is>
          <t>Coordonnées agence</t>
        </is>
      </c>
      <c r="C6" s="53" t="inlineStr">
        <is>
          <t>[adresse · téléphone · e-mail · site web · n° TVA]</t>
        </is>
      </c>
    </row>
    <row r="7">
      <c r="B7" s="52" t="inlineStr">
        <is>
          <t>Client</t>
        </is>
      </c>
      <c r="C7" s="53" t="inlineStr">
        <is>
          <t>Démarches SRL — concessionnaire Helicave</t>
        </is>
      </c>
    </row>
    <row r="8">
      <c r="B8" s="52" t="inlineStr">
        <is>
          <t>Date de la price list</t>
        </is>
      </c>
      <c r="C8" s="54" t="n">
        <v>46288</v>
      </c>
    </row>
    <row r="9">
      <c r="B9" s="52" t="inlineStr">
        <is>
          <t>Validité de l'offre (jours)</t>
        </is>
      </c>
      <c r="C9" s="55" t="n">
        <v>90</v>
      </c>
    </row>
    <row r="10">
      <c r="B10" s="52" t="inlineStr">
        <is>
          <t>Heures par jour de travail (1 j/h)</t>
        </is>
      </c>
      <c r="C10" s="55" t="n">
        <v>8</v>
      </c>
    </row>
    <row r="11">
      <c r="B11" s="52" t="inlineStr">
        <is>
          <t>TVA</t>
        </is>
      </c>
      <c r="C11" s="56" t="n">
        <v>0.21</v>
      </c>
      <c r="D11" s="11" t="inlineStr">
        <is>
          <t>TVA belge 21 %. Mettre 0 % si non applicable.</t>
        </is>
      </c>
    </row>
    <row r="12">
      <c r="B12" s="52" t="inlineStr">
        <is>
          <t>Arrondi des prix (€)</t>
        </is>
      </c>
      <c r="C12" s="55" t="n">
        <v>5</v>
      </c>
      <c r="D12" s="11" t="inlineStr">
        <is>
          <t>Les prix calculés sont arrondis au multiple supérieur (ex. 5 €).</t>
        </is>
      </c>
    </row>
    <row r="15">
      <c r="B15" s="57" t="inlineStr">
        <is>
          <t>TAUX HORAIRES PAR PROFIL (HT)</t>
        </is>
      </c>
    </row>
    <row r="16">
      <c r="B16" s="58" t="inlineStr">
        <is>
          <t>Profil</t>
        </is>
      </c>
      <c r="C16" s="58" t="inlineStr">
        <is>
          <t>Taux horaire HT</t>
        </is>
      </c>
      <c r="D16" s="58" t="inlineStr">
        <is>
          <t>Taux journalier HT</t>
        </is>
      </c>
    </row>
    <row r="17">
      <c r="B17" s="59" t="inlineStr">
        <is>
          <t>Directeur artistique</t>
        </is>
      </c>
      <c r="C17" s="60" t="n">
        <v>85</v>
      </c>
      <c r="D17" s="61">
        <f>C17*$C$10</f>
        <v/>
      </c>
    </row>
    <row r="18">
      <c r="B18" s="59" t="inlineStr">
        <is>
          <t>Chef de projet</t>
        </is>
      </c>
      <c r="C18" s="60" t="n">
        <v>70</v>
      </c>
      <c r="D18" s="61">
        <f>C18*$C$10</f>
        <v/>
      </c>
    </row>
    <row r="19">
      <c r="B19" s="59" t="inlineStr">
        <is>
          <t>Graphiste</t>
        </is>
      </c>
      <c r="C19" s="60" t="n">
        <v>65</v>
      </c>
      <c r="D19" s="61">
        <f>C19*$C$10</f>
        <v/>
      </c>
    </row>
    <row r="20">
      <c r="B20" s="59" t="inlineStr">
        <is>
          <t>Illustrateur</t>
        </is>
      </c>
      <c r="C20" s="60" t="n">
        <v>65</v>
      </c>
      <c r="D20" s="61">
        <f>C20*$C$10</f>
        <v/>
      </c>
    </row>
    <row r="21">
      <c r="B21" s="59" t="inlineStr">
        <is>
          <t>Designer 3D</t>
        </is>
      </c>
      <c r="C21" s="60" t="n">
        <v>75</v>
      </c>
      <c r="D21" s="61">
        <f>C21*$C$10</f>
        <v/>
      </c>
    </row>
    <row r="22">
      <c r="B22" s="59" t="inlineStr">
        <is>
          <t>Photographe</t>
        </is>
      </c>
      <c r="C22" s="60" t="n">
        <v>70</v>
      </c>
      <c r="D22" s="61">
        <f>C22*$C$10</f>
        <v/>
      </c>
    </row>
    <row r="23">
      <c r="B23" s="59" t="inlineStr">
        <is>
          <t>Vidéaste</t>
        </is>
      </c>
      <c r="C23" s="60" t="n">
        <v>75</v>
      </c>
      <c r="D23" s="61">
        <f>C23*$C$10</f>
        <v/>
      </c>
    </row>
    <row r="24">
      <c r="B24" s="59" t="inlineStr">
        <is>
          <t>Monteur / motion designer</t>
        </is>
      </c>
      <c r="C24" s="60" t="n">
        <v>70</v>
      </c>
      <c r="D24" s="61">
        <f>C24*$C$10</f>
        <v/>
      </c>
    </row>
    <row r="25">
      <c r="B25" s="59" t="inlineStr">
        <is>
          <t>Pilote drone</t>
        </is>
      </c>
      <c r="C25" s="60" t="n">
        <v>85</v>
      </c>
      <c r="D25" s="61">
        <f>C25*$C$10</f>
        <v/>
      </c>
    </row>
    <row r="26">
      <c r="B26" s="59" t="inlineStr">
        <is>
          <t>Webdesigner UI/UX</t>
        </is>
      </c>
      <c r="C26" s="60" t="n">
        <v>70</v>
      </c>
      <c r="D26" s="61">
        <f>C26*$C$10</f>
        <v/>
      </c>
    </row>
    <row r="27">
      <c r="B27" s="59" t="inlineStr">
        <is>
          <t>Développeur web</t>
        </is>
      </c>
      <c r="C27" s="60" t="n">
        <v>70</v>
      </c>
      <c r="D27" s="61">
        <f>C27*$C$10</f>
        <v/>
      </c>
    </row>
    <row r="28">
      <c r="B28" s="59" t="inlineStr">
        <is>
          <t>Community manager</t>
        </is>
      </c>
      <c r="C28" s="60" t="n">
        <v>55</v>
      </c>
      <c r="D28" s="61">
        <f>C28*$C$10</f>
        <v/>
      </c>
    </row>
    <row r="29">
      <c r="B29" s="59" t="inlineStr">
        <is>
          <t>Rédacteur / copywriter</t>
        </is>
      </c>
      <c r="C29" s="60" t="n">
        <v>55</v>
      </c>
      <c r="D29" s="61">
        <f>C29*$C$10</f>
        <v/>
      </c>
    </row>
    <row r="31">
      <c r="B31" s="11" t="inlineStr">
        <is>
          <t>Taux indicatifs (fourchette moyenne d'une agence de communication en Belgique) — à remplacer par vos tarifs réels.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2026-09-23T21:44:11Z</dcterms:created>
  <dcterms:modified xsi:type="dcterms:W3CDTF">2026-09-23T21:44:11Z</dcterms:modified>
</cp:coreProperties>
</file>