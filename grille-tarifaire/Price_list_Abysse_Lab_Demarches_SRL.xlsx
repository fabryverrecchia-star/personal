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Paramètres" sheetId="2" state="visible" r:id="rId2"/>
  </sheets>
  <definedNames>
    <definedName name="_xlnm.Print_Titles" localSheetId="0">'Price list'!$13:$13</definedName>
    <definedName name="_xlnm.Print_Area" localSheetId="0">'Price list'!$A$1:$M$134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0.##"/>
    <numFmt numFmtId="167" formatCode="0.0#"/>
    <numFmt numFmtId="168" formatCode="#,##0 €;-#,##0 €;&quot;sur devis&quot;"/>
    <numFmt numFmtId="169" formatCode="#,##0.00 €;-#,##0.00 €;&quot;sur devis&quot;"/>
    <numFmt numFmtId="170" formatCode="#,##0.00 €;-#,##0.00 €;&quot;-&quot;"/>
    <numFmt numFmtId="171" formatCode="0.#"/>
  </numFmts>
  <fonts count="24">
    <font>
      <name val="Calibri"/>
      <family val="2"/>
      <color theme="1"/>
      <sz val="11"/>
      <scheme val="minor"/>
    </font>
    <font>
      <name val="Arial"/>
      <b val="1"/>
      <color rgb="001E1E24"/>
      <sz val="14"/>
    </font>
    <font>
      <name val="Arial"/>
      <i val="1"/>
      <color rgb="008A8A8A"/>
    </font>
    <font>
      <name val="Arial"/>
      <color rgb="001E1E24"/>
    </font>
    <font>
      <name val="Arial"/>
      <color rgb="000000FF"/>
    </font>
    <font>
      <name val="Arial"/>
      <i val="1"/>
      <color rgb="008A8A8A"/>
      <sz val="9"/>
    </font>
    <font>
      <name val="Arial"/>
      <b val="1"/>
      <color rgb="00FFFFFF"/>
      <sz val="20"/>
    </font>
    <font>
      <name val="Arial"/>
      <b val="1"/>
      <color rgb="00B08D57"/>
      <sz val="11"/>
    </font>
    <font>
      <name val="Arial"/>
      <color rgb="00CFCFCF"/>
      <sz val="10"/>
    </font>
    <font>
      <name val="Arial"/>
      <b val="1"/>
      <color rgb="008A8A8A"/>
      <sz val="8"/>
    </font>
    <font>
      <name val="Arial"/>
      <b val="1"/>
      <color rgb="001E1E24"/>
      <sz val="12"/>
    </font>
    <font>
      <name val="Arial"/>
      <b val="1"/>
      <color rgb="001E1E24"/>
      <sz val="11"/>
    </font>
    <font>
      <name val="Arial"/>
      <b val="1"/>
      <color rgb="00FFFFFF"/>
      <sz val="9"/>
    </font>
    <font>
      <name val="Arial"/>
      <color rgb="001E1E24"/>
      <sz val="10"/>
    </font>
    <font>
      <name val="Arial"/>
      <color rgb="008A8A8A"/>
      <sz val="9"/>
    </font>
    <font>
      <name val="Arial"/>
      <b val="1"/>
      <color rgb="001E1E24"/>
      <sz val="10"/>
    </font>
    <font>
      <name val="Arial"/>
      <color rgb="00555555"/>
      <sz val="9"/>
    </font>
    <font>
      <name val="Arial"/>
      <color rgb="001E1E24"/>
      <sz val="9"/>
    </font>
    <font>
      <name val="Arial"/>
      <color rgb="00555555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B08D57"/>
    </font>
    <font>
      <name val="Arial"/>
      <color rgb="008A8A8A"/>
      <sz val="8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E1E24"/>
      </patternFill>
    </fill>
    <fill>
      <patternFill patternType="solid">
        <fgColor rgb="00B08D57"/>
      </patternFill>
    </fill>
    <fill>
      <patternFill patternType="solid">
        <fgColor rgb="00F4EFE6"/>
      </patternFill>
    </fill>
    <fill>
      <patternFill patternType="solid">
        <fgColor rgb="00FAF8F4"/>
      </patternFill>
    </fill>
  </fills>
  <borders count="5">
    <border>
      <left/>
      <right/>
      <top/>
      <bottom/>
      <diagonal/>
    </border>
    <border>
      <top style="medium">
        <color rgb="00B08D57"/>
      </top>
    </border>
    <border>
      <bottom style="thin">
        <color rgb="00B08D57"/>
      </bottom>
    </border>
    <border>
      <bottom style="thin">
        <color rgb="00E3DCCF"/>
      </bottom>
    </border>
    <border>
      <bottom style="medium">
        <color rgb="00B08D57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6" fillId="3" borderId="0" applyAlignment="1" pivotButton="0" quotePrefix="0" xfId="0">
      <alignment vertical="bottom" indent="1"/>
    </xf>
    <xf numFmtId="0" fontId="7" fillId="3" borderId="0" applyAlignment="1" pivotButton="0" quotePrefix="0" xfId="0">
      <alignment indent="1"/>
    </xf>
    <xf numFmtId="0" fontId="8" fillId="3" borderId="0" applyAlignment="1" pivotButton="0" quotePrefix="0" xfId="0">
      <alignment vertical="top" indent="1"/>
    </xf>
    <xf numFmtId="0" fontId="0" fillId="3" borderId="0" pivotButton="0" quotePrefix="0" xfId="0"/>
    <xf numFmtId="0" fontId="0" fillId="0" borderId="1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pivotButton="0" quotePrefix="0" xfId="0"/>
    <xf numFmtId="165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5" fillId="0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 indent="1"/>
    </xf>
    <xf numFmtId="0" fontId="12" fillId="4" borderId="0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vertical="center" indent="1"/>
    </xf>
    <xf numFmtId="0" fontId="0" fillId="5" borderId="2" pivotButton="0" quotePrefix="0" xfId="0"/>
    <xf numFmtId="0" fontId="14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left" vertical="center" wrapText="1" indent="1"/>
    </xf>
    <xf numFmtId="0" fontId="16" fillId="0" borderId="3" applyAlignment="1" pivotButton="0" quotePrefix="0" xfId="0">
      <alignment horizontal="left" vertical="center" wrapText="1" indent="1"/>
    </xf>
    <xf numFmtId="0" fontId="17" fillId="0" borderId="3" applyAlignment="1" pivotButton="0" quotePrefix="0" xfId="0">
      <alignment horizontal="center" vertical="center" wrapText="1"/>
    </xf>
    <xf numFmtId="166" fontId="13" fillId="0" borderId="3" applyAlignment="1" pivotButton="0" quotePrefix="0" xfId="0">
      <alignment horizontal="center" vertical="center" wrapText="1"/>
    </xf>
    <xf numFmtId="167" fontId="13" fillId="0" borderId="3" applyAlignment="1" pivotButton="0" quotePrefix="0" xfId="0">
      <alignment horizontal="center" vertical="center" wrapText="1"/>
    </xf>
    <xf numFmtId="168" fontId="15" fillId="0" borderId="3" applyAlignment="1" pivotButton="0" quotePrefix="0" xfId="0">
      <alignment horizontal="right" vertical="center" indent="1"/>
    </xf>
    <xf numFmtId="169" fontId="18" fillId="0" borderId="3" applyAlignment="1" pivotButton="0" quotePrefix="0" xfId="0">
      <alignment horizontal="right" vertical="center" indent="1"/>
    </xf>
    <xf numFmtId="166" fontId="19" fillId="0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170" fontId="13" fillId="0" borderId="3" applyAlignment="1" pivotButton="0" quotePrefix="0" xfId="0">
      <alignment horizontal="right" vertical="center" indent="1"/>
    </xf>
    <xf numFmtId="170" fontId="15" fillId="0" borderId="3" applyAlignment="1" pivotButton="0" quotePrefix="0" xfId="0">
      <alignment horizontal="right" vertical="center" indent="1"/>
    </xf>
    <xf numFmtId="0" fontId="14" fillId="6" borderId="3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left" vertical="center" wrapText="1" indent="1"/>
    </xf>
    <xf numFmtId="0" fontId="16" fillId="6" borderId="3" applyAlignment="1" pivotButton="0" quotePrefix="0" xfId="0">
      <alignment horizontal="left" vertical="center" wrapText="1" indent="1"/>
    </xf>
    <xf numFmtId="0" fontId="17" fillId="6" borderId="3" applyAlignment="1" pivotButton="0" quotePrefix="0" xfId="0">
      <alignment horizontal="center" vertical="center" wrapText="1"/>
    </xf>
    <xf numFmtId="166" fontId="13" fillId="6" borderId="3" applyAlignment="1" pivotButton="0" quotePrefix="0" xfId="0">
      <alignment horizontal="center" vertical="center" wrapText="1"/>
    </xf>
    <xf numFmtId="167" fontId="13" fillId="6" borderId="3" applyAlignment="1" pivotButton="0" quotePrefix="0" xfId="0">
      <alignment horizontal="center" vertical="center" wrapText="1"/>
    </xf>
    <xf numFmtId="168" fontId="15" fillId="6" borderId="3" applyAlignment="1" pivotButton="0" quotePrefix="0" xfId="0">
      <alignment horizontal="right" vertical="center" indent="1"/>
    </xf>
    <xf numFmtId="169" fontId="18" fillId="6" borderId="3" applyAlignment="1" pivotButton="0" quotePrefix="0" xfId="0">
      <alignment horizontal="right" vertical="center" indent="1"/>
    </xf>
    <xf numFmtId="166" fontId="19" fillId="6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70" fontId="13" fillId="6" borderId="3" applyAlignment="1" pivotButton="0" quotePrefix="0" xfId="0">
      <alignment horizontal="right" vertical="center" indent="1"/>
    </xf>
    <xf numFmtId="170" fontId="15" fillId="6" borderId="3" applyAlignment="1" pivotButton="0" quotePrefix="0" xfId="0">
      <alignment horizontal="right" vertical="center" indent="1"/>
    </xf>
    <xf numFmtId="0" fontId="20" fillId="3" borderId="0" applyAlignment="1" pivotButton="0" quotePrefix="0" xfId="0">
      <alignment horizontal="right" vertical="center" indent="1"/>
    </xf>
    <xf numFmtId="170" fontId="21" fillId="3" borderId="0" applyAlignment="1" pivotButton="0" quotePrefix="0" xfId="0">
      <alignment horizontal="right" vertical="center" indent="1"/>
    </xf>
    <xf numFmtId="0" fontId="18" fillId="0" borderId="3" applyAlignment="1" pivotButton="0" quotePrefix="0" xfId="0">
      <alignment horizontal="right" vertical="center" indent="1"/>
    </xf>
    <xf numFmtId="0" fontId="0" fillId="0" borderId="3" pivotButton="0" quotePrefix="0" xfId="0"/>
    <xf numFmtId="1" fontId="13" fillId="0" borderId="3" applyAlignment="1" pivotButton="0" quotePrefix="0" xfId="0">
      <alignment horizontal="right" vertical="center" indent="1"/>
    </xf>
    <xf numFmtId="171" fontId="13" fillId="0" borderId="3" applyAlignment="1" pivotButton="0" quotePrefix="0" xfId="0">
      <alignment horizontal="right" vertical="center" indent="1"/>
    </xf>
    <xf numFmtId="167" fontId="13" fillId="0" borderId="3" applyAlignment="1" pivotButton="0" quotePrefix="0" xfId="0">
      <alignment horizontal="right" vertical="center" indent="1"/>
    </xf>
    <xf numFmtId="0" fontId="10" fillId="0" borderId="4" pivotButton="0" quotePrefix="0" xfId="0"/>
    <xf numFmtId="0" fontId="0" fillId="0" borderId="4" pivotButton="0" quotePrefix="0" xfId="0"/>
    <xf numFmtId="0" fontId="2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 indent="1"/>
    </xf>
    <xf numFmtId="0" fontId="2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1" fontId="4" fillId="2" borderId="0" applyAlignment="1" pivotButton="0" quotePrefix="0" xfId="0">
      <alignment horizontal="left"/>
    </xf>
    <xf numFmtId="9" fontId="4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1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8" customWidth="1" min="3" max="3"/>
    <col width="42" customWidth="1" min="4" max="4"/>
    <col width="13" customWidth="1" min="5" max="5"/>
    <col width="9" customWidth="1" min="6" max="6"/>
    <col width="8" customWidth="1" min="7" max="7"/>
    <col width="13" customWidth="1" min="8" max="8"/>
    <col width="13" customWidth="1" min="9" max="9"/>
    <col width="7" customWidth="1" min="10" max="10"/>
    <col width="9" customWidth="1" min="11" max="11"/>
    <col width="15" customWidth="1" min="12" max="12"/>
    <col width="16" customWidth="1" min="13" max="13"/>
  </cols>
  <sheetData>
    <row r="2" ht="34" customHeight="1">
      <c r="B2" s="1">
        <f>'Paramètres'!C5</f>
        <v/>
      </c>
    </row>
    <row r="3" ht="20" customHeight="1">
      <c r="B3" s="2" t="inlineStr">
        <is>
          <t>PRICE LIST — COMMUNICATION, DIRECTION ARTISTIQUE &amp; DESIGN</t>
        </is>
      </c>
    </row>
    <row r="4" ht="20" customHeight="1">
      <c r="B4" s="3">
        <f>'Paramètres'!C6</f>
        <v/>
      </c>
    </row>
    <row r="5" ht="8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6" t="inlineStr">
        <is>
          <t>PRÉPARÉ POUR</t>
        </is>
      </c>
      <c r="L7" s="7" t="inlineStr">
        <is>
          <t>DATE</t>
        </is>
      </c>
      <c r="M7" s="7" t="inlineStr">
        <is>
          <t>VALIDITÉ</t>
        </is>
      </c>
    </row>
    <row r="8" ht="22" customHeight="1">
      <c r="B8" s="8">
        <f>'Paramètres'!C7</f>
        <v/>
      </c>
      <c r="L8" s="9">
        <f>'Paramètres'!C8</f>
        <v/>
      </c>
      <c r="M8" s="10">
        <f>'Paramètres'!C9&amp;" jours"</f>
        <v/>
      </c>
    </row>
    <row r="10">
      <c r="B10" s="11" t="inlineStr">
        <is>
          <t>Cochez la colonne « VALIDÉ » pour chaque prestation retenue : le montant engagé et le cumul se calculent automatiquement.</t>
        </is>
      </c>
    </row>
    <row r="11">
      <c r="B11" s="11">
        <f>"Durées indicatives en heures et en jours/homme (1 j/h = "&amp;'Paramètres'!C10&amp;" h). Prix HT, TVA "&amp;TEXT('Paramètres'!C11,"0%")&amp;"."</f>
        <v/>
      </c>
    </row>
    <row r="13" ht="30" customHeight="1">
      <c r="B13" s="12" t="inlineStr">
        <is>
          <t>RÉF.</t>
        </is>
      </c>
      <c r="C13" s="13" t="inlineStr">
        <is>
          <t>PRESTATION</t>
        </is>
      </c>
      <c r="D13" s="13" t="inlineStr">
        <is>
          <t>DÉTAIL / LIVRABLES</t>
        </is>
      </c>
      <c r="E13" s="12" t="inlineStr">
        <is>
          <t>UNITÉ</t>
        </is>
      </c>
      <c r="F13" s="12" t="inlineStr">
        <is>
          <t>HEURES</t>
        </is>
      </c>
      <c r="G13" s="12" t="inlineStr">
        <is>
          <t>J/H</t>
        </is>
      </c>
      <c r="H13" s="12" t="inlineStr">
        <is>
          <t>PRIX HT</t>
        </is>
      </c>
      <c r="I13" s="12" t="inlineStr">
        <is>
          <t>PRIX TTC</t>
        </is>
      </c>
      <c r="J13" s="12" t="inlineStr">
        <is>
          <t>QTÉ</t>
        </is>
      </c>
      <c r="K13" s="14" t="inlineStr">
        <is>
          <t>VALIDÉ</t>
        </is>
      </c>
      <c r="L13" s="14" t="inlineStr">
        <is>
          <t>MONTANT ENGAGÉ HT</t>
        </is>
      </c>
      <c r="M13" s="14" t="inlineStr">
        <is>
          <t>CUMUL ENGAGÉ HT</t>
        </is>
      </c>
    </row>
    <row r="14" ht="8" customHeight="1"/>
    <row r="15" ht="24" customHeight="1">
      <c r="B15" s="15" t="inlineStr">
        <is>
          <t>01</t>
        </is>
      </c>
      <c r="C15" s="16" t="inlineStr">
        <is>
          <t>STRATÉGIE &amp; DIRECTION ARTISTIQUE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 ht="28" customHeight="1">
      <c r="B16" s="18" t="inlineStr">
        <is>
          <t>01.01</t>
        </is>
      </c>
      <c r="C16" s="19" t="inlineStr">
        <is>
          <t>Audit de communication &amp; de marque</t>
        </is>
      </c>
      <c r="D16" s="20" t="inlineStr">
        <is>
          <t>Analyse de l'existant, concurrence, recommandations</t>
        </is>
      </c>
      <c r="E16" s="21" t="inlineStr">
        <is>
          <t>forfait</t>
        </is>
      </c>
      <c r="F16" s="22" t="n">
        <v>12</v>
      </c>
      <c r="G16" s="23">
        <f>IF(F16="","",F16/'Paramètres'!$C$10)</f>
        <v/>
      </c>
      <c r="H16" s="24" t="n">
        <v>1224</v>
      </c>
      <c r="I16" s="25">
        <f>H16*(1+'Paramètres'!$C$11)</f>
        <v/>
      </c>
      <c r="J16" s="26" t="n">
        <v>1</v>
      </c>
      <c r="K16" s="27" t="b">
        <v>0</v>
      </c>
      <c r="L16" s="28">
        <f>IF(K16=TRUE,H16*J16,0)</f>
        <v/>
      </c>
      <c r="M16" s="29">
        <f>SUM(L$14:L16)</f>
        <v/>
      </c>
    </row>
    <row r="17" ht="28" customHeight="1">
      <c r="B17" s="30" t="inlineStr">
        <is>
          <t>01.02</t>
        </is>
      </c>
      <c r="C17" s="31" t="inlineStr">
        <is>
          <t>Plateforme de marque</t>
        </is>
      </c>
      <c r="D17" s="32" t="inlineStr">
        <is>
          <t>Positionnement, valeurs, ton, cibles, messages clés</t>
        </is>
      </c>
      <c r="E17" s="33" t="inlineStr">
        <is>
          <t>forfait</t>
        </is>
      </c>
      <c r="F17" s="34" t="n">
        <v>24</v>
      </c>
      <c r="G17" s="35">
        <f>IF(F17="","",F17/'Paramètres'!$C$10)</f>
        <v/>
      </c>
      <c r="H17" s="36" t="n">
        <v>2448</v>
      </c>
      <c r="I17" s="37">
        <f>H17*(1+'Paramètres'!$C$11)</f>
        <v/>
      </c>
      <c r="J17" s="38" t="n">
        <v>1</v>
      </c>
      <c r="K17" s="39" t="b">
        <v>0</v>
      </c>
      <c r="L17" s="40">
        <f>IF(K17=TRUE,H17*J17,0)</f>
        <v/>
      </c>
      <c r="M17" s="41">
        <f>SUM(L$14:L17)</f>
        <v/>
      </c>
    </row>
    <row r="18" ht="28" customHeight="1">
      <c r="B18" s="18" t="inlineStr">
        <is>
          <t>01.03</t>
        </is>
      </c>
      <c r="C18" s="19" t="inlineStr">
        <is>
          <t>Stratégie de communication annuelle</t>
        </is>
      </c>
      <c r="D18" s="20" t="inlineStr">
        <is>
          <t>Plan d'actions, canaux, calendrier, budget</t>
        </is>
      </c>
      <c r="E18" s="21" t="inlineStr">
        <is>
          <t>forfait</t>
        </is>
      </c>
      <c r="F18" s="22" t="n">
        <v>24</v>
      </c>
      <c r="G18" s="23">
        <f>IF(F18="","",F18/'Paramètres'!$C$10)</f>
        <v/>
      </c>
      <c r="H18" s="24" t="n">
        <v>2016</v>
      </c>
      <c r="I18" s="25">
        <f>H18*(1+'Paramètres'!$C$11)</f>
        <v/>
      </c>
      <c r="J18" s="26" t="n">
        <v>1</v>
      </c>
      <c r="K18" s="27" t="b">
        <v>0</v>
      </c>
      <c r="L18" s="28">
        <f>IF(K18=TRUE,H18*J18,0)</f>
        <v/>
      </c>
      <c r="M18" s="29">
        <f>SUM(L$14:L18)</f>
        <v/>
      </c>
    </row>
    <row r="19" ht="28" customHeight="1">
      <c r="B19" s="30" t="inlineStr">
        <is>
          <t>01.04</t>
        </is>
      </c>
      <c r="C19" s="31" t="inlineStr">
        <is>
          <t>Atelier créatif / brainstorming</t>
        </is>
      </c>
      <c r="D19" s="32" t="inlineStr">
        <is>
          <t>Séance de travail avec vos équipes (½ journée)</t>
        </is>
      </c>
      <c r="E19" s="33" t="inlineStr">
        <is>
          <t>forfait</t>
        </is>
      </c>
      <c r="F19" s="34" t="n">
        <v>4</v>
      </c>
      <c r="G19" s="35">
        <f>IF(F19="","",F19/'Paramètres'!$C$10)</f>
        <v/>
      </c>
      <c r="H19" s="36" t="n">
        <v>408</v>
      </c>
      <c r="I19" s="37">
        <f>H19*(1+'Paramètres'!$C$11)</f>
        <v/>
      </c>
      <c r="J19" s="38" t="n">
        <v>1</v>
      </c>
      <c r="K19" s="39" t="b">
        <v>0</v>
      </c>
      <c r="L19" s="40">
        <f>IF(K19=TRUE,H19*J19,0)</f>
        <v/>
      </c>
      <c r="M19" s="41">
        <f>SUM(L$14:L19)</f>
        <v/>
      </c>
    </row>
    <row r="20" ht="28" customHeight="1">
      <c r="B20" s="18" t="inlineStr">
        <is>
          <t>01.05</t>
        </is>
      </c>
      <c r="C20" s="19" t="inlineStr">
        <is>
          <t>Moodboard &amp; concept créatif</t>
        </is>
      </c>
      <c r="D20" s="20" t="inlineStr">
        <is>
          <t>Pistes visuelles et univers graphique</t>
        </is>
      </c>
      <c r="E20" s="21" t="inlineStr">
        <is>
          <t>forfait</t>
        </is>
      </c>
      <c r="F20" s="22" t="n">
        <v>8</v>
      </c>
      <c r="G20" s="23">
        <f>IF(F20="","",F20/'Paramètres'!$C$10)</f>
        <v/>
      </c>
      <c r="H20" s="24" t="n">
        <v>816</v>
      </c>
      <c r="I20" s="25">
        <f>H20*(1+'Paramètres'!$C$11)</f>
        <v/>
      </c>
      <c r="J20" s="26" t="n">
        <v>1</v>
      </c>
      <c r="K20" s="27" t="b">
        <v>0</v>
      </c>
      <c r="L20" s="28">
        <f>IF(K20=TRUE,H20*J20,0)</f>
        <v/>
      </c>
      <c r="M20" s="29">
        <f>SUM(L$14:L20)</f>
        <v/>
      </c>
    </row>
    <row r="21" ht="28" customHeight="1">
      <c r="B21" s="30" t="inlineStr">
        <is>
          <t>01.06</t>
        </is>
      </c>
      <c r="C21" s="31" t="inlineStr">
        <is>
          <t>Direction artistique</t>
        </is>
      </c>
      <c r="D21" s="32" t="inlineStr">
        <is>
          <t>Supervision créative d'un projet</t>
        </is>
      </c>
      <c r="E21" s="33" t="inlineStr">
        <is>
          <t>heure</t>
        </is>
      </c>
      <c r="F21" s="34" t="n">
        <v>1</v>
      </c>
      <c r="G21" s="35">
        <f>IF(F21="","",F21/'Paramètres'!$C$10)</f>
        <v/>
      </c>
      <c r="H21" s="36" t="n">
        <v>102</v>
      </c>
      <c r="I21" s="37">
        <f>H21*(1+'Paramètres'!$C$11)</f>
        <v/>
      </c>
      <c r="J21" s="38" t="n">
        <v>1</v>
      </c>
      <c r="K21" s="39" t="b">
        <v>0</v>
      </c>
      <c r="L21" s="40">
        <f>IF(K21=TRUE,H21*J21,0)</f>
        <v/>
      </c>
      <c r="M21" s="41">
        <f>SUM(L$14:L21)</f>
        <v/>
      </c>
    </row>
    <row r="22" ht="28" customHeight="1">
      <c r="B22" s="18" t="inlineStr">
        <is>
          <t>01.07</t>
        </is>
      </c>
      <c r="C22" s="19" t="inlineStr">
        <is>
          <t>Direction artistique — journée</t>
        </is>
      </c>
      <c r="D22" s="20" t="inlineStr">
        <is>
          <t>Présence shooting / tournage / production</t>
        </is>
      </c>
      <c r="E22" s="21" t="inlineStr">
        <is>
          <t>jour</t>
        </is>
      </c>
      <c r="F22" s="22" t="n">
        <v>8</v>
      </c>
      <c r="G22" s="23">
        <f>IF(F22="","",F22/'Paramètres'!$C$10)</f>
        <v/>
      </c>
      <c r="H22" s="24" t="n">
        <v>816</v>
      </c>
      <c r="I22" s="25">
        <f>H22*(1+'Paramètres'!$C$11)</f>
        <v/>
      </c>
      <c r="J22" s="26" t="n">
        <v>1</v>
      </c>
      <c r="K22" s="27" t="b">
        <v>0</v>
      </c>
      <c r="L22" s="28">
        <f>IF(K22=TRUE,H22*J22,0)</f>
        <v/>
      </c>
      <c r="M22" s="29">
        <f>SUM(L$14:L22)</f>
        <v/>
      </c>
    </row>
    <row r="23" ht="28" customHeight="1">
      <c r="B23" s="30" t="inlineStr">
        <is>
          <t>01.08</t>
        </is>
      </c>
      <c r="C23" s="31" t="inlineStr">
        <is>
          <t>Gestion de projet</t>
        </is>
      </c>
      <c r="D23" s="32" t="inlineStr">
        <is>
          <t>Coordination, planning, suivi fournisseurs</t>
        </is>
      </c>
      <c r="E23" s="33" t="inlineStr">
        <is>
          <t>heure</t>
        </is>
      </c>
      <c r="F23" s="34" t="n">
        <v>1</v>
      </c>
      <c r="G23" s="35">
        <f>IF(F23="","",F23/'Paramètres'!$C$10)</f>
        <v/>
      </c>
      <c r="H23" s="36" t="n">
        <v>84</v>
      </c>
      <c r="I23" s="37">
        <f>H23*(1+'Paramètres'!$C$11)</f>
        <v/>
      </c>
      <c r="J23" s="38" t="n">
        <v>1</v>
      </c>
      <c r="K23" s="39" t="b">
        <v>0</v>
      </c>
      <c r="L23" s="40">
        <f>IF(K23=TRUE,H23*J23,0)</f>
        <v/>
      </c>
      <c r="M23" s="41">
        <f>SUM(L$14:L23)</f>
        <v/>
      </c>
    </row>
    <row r="24" ht="28" customHeight="1">
      <c r="B24" s="18" t="inlineStr">
        <is>
          <t>01.09</t>
        </is>
      </c>
      <c r="C24" s="19" t="inlineStr">
        <is>
          <t>Réunion client</t>
        </is>
      </c>
      <c r="D24" s="20" t="inlineStr">
        <is>
          <t>Rendez-vous de suivi, déplacement local inclus</t>
        </is>
      </c>
      <c r="E24" s="21" t="inlineStr">
        <is>
          <t>forfait</t>
        </is>
      </c>
      <c r="F24" s="22" t="n">
        <v>2</v>
      </c>
      <c r="G24" s="23">
        <f>IF(F24="","",F24/'Paramètres'!$C$10)</f>
        <v/>
      </c>
      <c r="H24" s="24" t="n">
        <v>204</v>
      </c>
      <c r="I24" s="25">
        <f>H24*(1+'Paramètres'!$C$11)</f>
        <v/>
      </c>
      <c r="J24" s="26" t="n">
        <v>1</v>
      </c>
      <c r="K24" s="27" t="b">
        <v>0</v>
      </c>
      <c r="L24" s="28">
        <f>IF(K24=TRUE,H24*J24,0)</f>
        <v/>
      </c>
      <c r="M24" s="29">
        <f>SUM(L$14:L24)</f>
        <v/>
      </c>
    </row>
    <row r="25" ht="8" customHeight="1"/>
    <row r="26" ht="24" customHeight="1">
      <c r="B26" s="15" t="inlineStr">
        <is>
          <t>02</t>
        </is>
      </c>
      <c r="C26" s="16" t="inlineStr">
        <is>
          <t>IDENTITÉ VISUELLE &amp; BRANDING</t>
        </is>
      </c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28" customHeight="1">
      <c r="B27" s="18" t="inlineStr">
        <is>
          <t>02.01</t>
        </is>
      </c>
      <c r="C27" s="19" t="inlineStr">
        <is>
          <t>Création de logo</t>
        </is>
      </c>
      <c r="D27" s="20" t="inlineStr">
        <is>
          <t>3 pistes créatives, 2 allers-retours, fichiers sources</t>
        </is>
      </c>
      <c r="E27" s="21" t="inlineStr">
        <is>
          <t>forfait</t>
        </is>
      </c>
      <c r="F27" s="22" t="n">
        <v>24</v>
      </c>
      <c r="G27" s="23">
        <f>IF(F27="","",F27/'Paramètres'!$C$10)</f>
        <v/>
      </c>
      <c r="H27" s="24" t="n">
        <v>1872</v>
      </c>
      <c r="I27" s="25">
        <f>H27*(1+'Paramètres'!$C$11)</f>
        <v/>
      </c>
      <c r="J27" s="26" t="n">
        <v>1</v>
      </c>
      <c r="K27" s="27" t="b">
        <v>0</v>
      </c>
      <c r="L27" s="28">
        <f>IF(K27=TRUE,H27*J27,0)</f>
        <v/>
      </c>
      <c r="M27" s="29">
        <f>SUM(L$14:L27)</f>
        <v/>
      </c>
    </row>
    <row r="28" ht="28" customHeight="1">
      <c r="B28" s="30" t="inlineStr">
        <is>
          <t>02.02</t>
        </is>
      </c>
      <c r="C28" s="31" t="inlineStr">
        <is>
          <t>Refonte / modernisation de logo</t>
        </is>
      </c>
      <c r="D28" s="32" t="inlineStr">
        <is>
          <t>Évolution d'un logo existant</t>
        </is>
      </c>
      <c r="E28" s="33" t="inlineStr">
        <is>
          <t>forfait</t>
        </is>
      </c>
      <c r="F28" s="34" t="n">
        <v>14</v>
      </c>
      <c r="G28" s="35">
        <f>IF(F28="","",F28/'Paramètres'!$C$10)</f>
        <v/>
      </c>
      <c r="H28" s="36" t="n">
        <v>1092</v>
      </c>
      <c r="I28" s="37">
        <f>H28*(1+'Paramètres'!$C$11)</f>
        <v/>
      </c>
      <c r="J28" s="38" t="n">
        <v>1</v>
      </c>
      <c r="K28" s="39" t="b">
        <v>0</v>
      </c>
      <c r="L28" s="40">
        <f>IF(K28=TRUE,H28*J28,0)</f>
        <v/>
      </c>
      <c r="M28" s="41">
        <f>SUM(L$14:L28)</f>
        <v/>
      </c>
    </row>
    <row r="29" ht="28" customHeight="1">
      <c r="B29" s="18" t="inlineStr">
        <is>
          <t>02.03</t>
        </is>
      </c>
      <c r="C29" s="19" t="inlineStr">
        <is>
          <t>Charte graphique</t>
        </is>
      </c>
      <c r="D29" s="20" t="inlineStr">
        <is>
          <t>Couleurs, typographies, règles d'usage (PDF)</t>
        </is>
      </c>
      <c r="E29" s="21" t="inlineStr">
        <is>
          <t>forfait</t>
        </is>
      </c>
      <c r="F29" s="22" t="n">
        <v>16</v>
      </c>
      <c r="G29" s="23">
        <f>IF(F29="","",F29/'Paramètres'!$C$10)</f>
        <v/>
      </c>
      <c r="H29" s="24" t="n">
        <v>1248</v>
      </c>
      <c r="I29" s="25">
        <f>H29*(1+'Paramètres'!$C$11)</f>
        <v/>
      </c>
      <c r="J29" s="26" t="n">
        <v>1</v>
      </c>
      <c r="K29" s="27" t="b">
        <v>0</v>
      </c>
      <c r="L29" s="28">
        <f>IF(K29=TRUE,H29*J29,0)</f>
        <v/>
      </c>
      <c r="M29" s="29">
        <f>SUM(L$14:L29)</f>
        <v/>
      </c>
    </row>
    <row r="30" ht="28" customHeight="1">
      <c r="B30" s="30" t="inlineStr">
        <is>
          <t>02.04</t>
        </is>
      </c>
      <c r="C30" s="31" t="inlineStr">
        <is>
          <t>Brandbook complet</t>
        </is>
      </c>
      <c r="D30" s="32" t="inlineStr">
        <is>
          <t>Charte + déclinaisons + exemples d'application</t>
        </is>
      </c>
      <c r="E30" s="33" t="inlineStr">
        <is>
          <t>forfait</t>
        </is>
      </c>
      <c r="F30" s="34" t="n">
        <v>32</v>
      </c>
      <c r="G30" s="35">
        <f>IF(F30="","",F30/'Paramètres'!$C$10)</f>
        <v/>
      </c>
      <c r="H30" s="36" t="n">
        <v>3264</v>
      </c>
      <c r="I30" s="37">
        <f>H30*(1+'Paramètres'!$C$11)</f>
        <v/>
      </c>
      <c r="J30" s="38" t="n">
        <v>1</v>
      </c>
      <c r="K30" s="39" t="b">
        <v>0</v>
      </c>
      <c r="L30" s="40">
        <f>IF(K30=TRUE,H30*J30,0)</f>
        <v/>
      </c>
      <c r="M30" s="41">
        <f>SUM(L$14:L30)</f>
        <v/>
      </c>
    </row>
    <row r="31" ht="28" customHeight="1">
      <c r="B31" s="18" t="inlineStr">
        <is>
          <t>02.05</t>
        </is>
      </c>
      <c r="C31" s="19" t="inlineStr">
        <is>
          <t>Naming</t>
        </is>
      </c>
      <c r="D31" s="20" t="inlineStr">
        <is>
          <t>Recherche de nom, 10 propositions argumentées</t>
        </is>
      </c>
      <c r="E31" s="21" t="inlineStr">
        <is>
          <t>forfait</t>
        </is>
      </c>
      <c r="F31" s="22" t="n">
        <v>12</v>
      </c>
      <c r="G31" s="23">
        <f>IF(F31="","",F31/'Paramètres'!$C$10)</f>
        <v/>
      </c>
      <c r="H31" s="24" t="n">
        <v>792</v>
      </c>
      <c r="I31" s="25">
        <f>H31*(1+'Paramètres'!$C$11)</f>
        <v/>
      </c>
      <c r="J31" s="26" t="n">
        <v>1</v>
      </c>
      <c r="K31" s="27" t="b">
        <v>0</v>
      </c>
      <c r="L31" s="28">
        <f>IF(K31=TRUE,H31*J31,0)</f>
        <v/>
      </c>
      <c r="M31" s="29">
        <f>SUM(L$14:L31)</f>
        <v/>
      </c>
    </row>
    <row r="32" ht="28" customHeight="1">
      <c r="B32" s="30" t="inlineStr">
        <is>
          <t>02.06</t>
        </is>
      </c>
      <c r="C32" s="31" t="inlineStr">
        <is>
          <t>Slogan / signature de marque</t>
        </is>
      </c>
      <c r="D32" s="32" t="inlineStr">
        <is>
          <t>5 propositions</t>
        </is>
      </c>
      <c r="E32" s="33" t="inlineStr">
        <is>
          <t>forfait</t>
        </is>
      </c>
      <c r="F32" s="34" t="n">
        <v>4</v>
      </c>
      <c r="G32" s="35">
        <f>IF(F32="","",F32/'Paramètres'!$C$10)</f>
        <v/>
      </c>
      <c r="H32" s="36" t="n">
        <v>264</v>
      </c>
      <c r="I32" s="37">
        <f>H32*(1+'Paramètres'!$C$11)</f>
        <v/>
      </c>
      <c r="J32" s="38" t="n">
        <v>1</v>
      </c>
      <c r="K32" s="39" t="b">
        <v>0</v>
      </c>
      <c r="L32" s="40">
        <f>IF(K32=TRUE,H32*J32,0)</f>
        <v/>
      </c>
      <c r="M32" s="41">
        <f>SUM(L$14:L32)</f>
        <v/>
      </c>
    </row>
    <row r="33" ht="28" customHeight="1">
      <c r="B33" s="18" t="inlineStr">
        <is>
          <t>02.07</t>
        </is>
      </c>
      <c r="C33" s="19" t="inlineStr">
        <is>
          <t>Papeterie</t>
        </is>
      </c>
      <c r="D33" s="20" t="inlineStr">
        <is>
          <t>Carte de visite, papier en-tête, enveloppe</t>
        </is>
      </c>
      <c r="E33" s="21" t="inlineStr">
        <is>
          <t>forfait</t>
        </is>
      </c>
      <c r="F33" s="22" t="n">
        <v>6</v>
      </c>
      <c r="G33" s="23">
        <f>IF(F33="","",F33/'Paramètres'!$C$10)</f>
        <v/>
      </c>
      <c r="H33" s="24" t="n">
        <v>468</v>
      </c>
      <c r="I33" s="25">
        <f>H33*(1+'Paramètres'!$C$11)</f>
        <v/>
      </c>
      <c r="J33" s="26" t="n">
        <v>1</v>
      </c>
      <c r="K33" s="27" t="b">
        <v>0</v>
      </c>
      <c r="L33" s="28">
        <f>IF(K33=TRUE,H33*J33,0)</f>
        <v/>
      </c>
      <c r="M33" s="29">
        <f>SUM(L$14:L33)</f>
        <v/>
      </c>
    </row>
    <row r="34" ht="28" customHeight="1">
      <c r="B34" s="30" t="inlineStr">
        <is>
          <t>02.08</t>
        </is>
      </c>
      <c r="C34" s="31" t="inlineStr">
        <is>
          <t>Signature e-mail HTML</t>
        </is>
      </c>
      <c r="D34" s="32" t="inlineStr">
        <is>
          <t>Modèle aux couleurs de la marque</t>
        </is>
      </c>
      <c r="E34" s="33" t="inlineStr">
        <is>
          <t>forfait</t>
        </is>
      </c>
      <c r="F34" s="34" t="n">
        <v>2</v>
      </c>
      <c r="G34" s="35">
        <f>IF(F34="","",F34/'Paramètres'!$C$10)</f>
        <v/>
      </c>
      <c r="H34" s="36" t="n">
        <v>156</v>
      </c>
      <c r="I34" s="37">
        <f>H34*(1+'Paramètres'!$C$11)</f>
        <v/>
      </c>
      <c r="J34" s="38" t="n">
        <v>1</v>
      </c>
      <c r="K34" s="39" t="b">
        <v>0</v>
      </c>
      <c r="L34" s="40">
        <f>IF(K34=TRUE,H34*J34,0)</f>
        <v/>
      </c>
      <c r="M34" s="41">
        <f>SUM(L$14:L34)</f>
        <v/>
      </c>
    </row>
    <row r="35" ht="28" customHeight="1">
      <c r="B35" s="18" t="inlineStr">
        <is>
          <t>02.09</t>
        </is>
      </c>
      <c r="C35" s="19" t="inlineStr">
        <is>
          <t>Templates Office / PowerPoint</t>
        </is>
      </c>
      <c r="D35" s="20" t="inlineStr">
        <is>
          <t>Modèles Word + présentation</t>
        </is>
      </c>
      <c r="E35" s="21" t="inlineStr">
        <is>
          <t>forfait</t>
        </is>
      </c>
      <c r="F35" s="22" t="n">
        <v>8</v>
      </c>
      <c r="G35" s="23">
        <f>IF(F35="","",F35/'Paramètres'!$C$10)</f>
        <v/>
      </c>
      <c r="H35" s="24" t="n">
        <v>624</v>
      </c>
      <c r="I35" s="25">
        <f>H35*(1+'Paramètres'!$C$11)</f>
        <v/>
      </c>
      <c r="J35" s="26" t="n">
        <v>1</v>
      </c>
      <c r="K35" s="27" t="b">
        <v>0</v>
      </c>
      <c r="L35" s="28">
        <f>IF(K35=TRUE,H35*J35,0)</f>
        <v/>
      </c>
      <c r="M35" s="29">
        <f>SUM(L$14:L35)</f>
        <v/>
      </c>
    </row>
    <row r="36" ht="8" customHeight="1"/>
    <row r="37" ht="24" customHeight="1">
      <c r="B37" s="15" t="inlineStr">
        <is>
          <t>03</t>
        </is>
      </c>
      <c r="C37" s="16" t="inlineStr">
        <is>
          <t>GRAPHISME PRINT &amp; ÉDITION</t>
        </is>
      </c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 ht="28" customHeight="1">
      <c r="B38" s="18" t="inlineStr">
        <is>
          <t>03.01</t>
        </is>
      </c>
      <c r="C38" s="19" t="inlineStr">
        <is>
          <t>Heure de graphisme</t>
        </is>
      </c>
      <c r="D38" s="20" t="inlineStr">
        <is>
          <t>Création ou adaptation graphique</t>
        </is>
      </c>
      <c r="E38" s="21" t="inlineStr">
        <is>
          <t>heure</t>
        </is>
      </c>
      <c r="F38" s="22" t="n">
        <v>1</v>
      </c>
      <c r="G38" s="23">
        <f>IF(F38="","",F38/'Paramètres'!$C$10)</f>
        <v/>
      </c>
      <c r="H38" s="24" t="n">
        <v>78</v>
      </c>
      <c r="I38" s="25">
        <f>H38*(1+'Paramètres'!$C$11)</f>
        <v/>
      </c>
      <c r="J38" s="26" t="n">
        <v>1</v>
      </c>
      <c r="K38" s="27" t="b">
        <v>0</v>
      </c>
      <c r="L38" s="28">
        <f>IF(K38=TRUE,H38*J38,0)</f>
        <v/>
      </c>
      <c r="M38" s="29">
        <f>SUM(L$14:L38)</f>
        <v/>
      </c>
    </row>
    <row r="39" ht="28" customHeight="1">
      <c r="B39" s="30" t="inlineStr">
        <is>
          <t>03.02</t>
        </is>
      </c>
      <c r="C39" s="31" t="inlineStr">
        <is>
          <t>Journée de graphisme</t>
        </is>
      </c>
      <c r="D39" s="32" t="inlineStr">
        <is>
          <t>Journée de création (1 j/h)</t>
        </is>
      </c>
      <c r="E39" s="33" t="inlineStr">
        <is>
          <t>jour</t>
        </is>
      </c>
      <c r="F39" s="34" t="n">
        <v>8</v>
      </c>
      <c r="G39" s="35">
        <f>IF(F39="","",F39/'Paramètres'!$C$10)</f>
        <v/>
      </c>
      <c r="H39" s="36" t="n">
        <v>624</v>
      </c>
      <c r="I39" s="37">
        <f>H39*(1+'Paramètres'!$C$11)</f>
        <v/>
      </c>
      <c r="J39" s="38" t="n">
        <v>1</v>
      </c>
      <c r="K39" s="39" t="b">
        <v>0</v>
      </c>
      <c r="L39" s="40">
        <f>IF(K39=TRUE,H39*J39,0)</f>
        <v/>
      </c>
      <c r="M39" s="41">
        <f>SUM(L$14:L39)</f>
        <v/>
      </c>
    </row>
    <row r="40" ht="28" customHeight="1">
      <c r="B40" s="18" t="inlineStr">
        <is>
          <t>03.03</t>
        </is>
      </c>
      <c r="C40" s="19" t="inlineStr">
        <is>
          <t>Flyer A5 / A4</t>
        </is>
      </c>
      <c r="D40" s="20" t="inlineStr">
        <is>
          <t>Recto-verso, fichiers prêts à imprimer</t>
        </is>
      </c>
      <c r="E40" s="21" t="inlineStr">
        <is>
          <t>forfait</t>
        </is>
      </c>
      <c r="F40" s="22" t="n">
        <v>4</v>
      </c>
      <c r="G40" s="23">
        <f>IF(F40="","",F40/'Paramètres'!$C$10)</f>
        <v/>
      </c>
      <c r="H40" s="24" t="n">
        <v>312</v>
      </c>
      <c r="I40" s="25">
        <f>H40*(1+'Paramètres'!$C$11)</f>
        <v/>
      </c>
      <c r="J40" s="26" t="n">
        <v>1</v>
      </c>
      <c r="K40" s="27" t="b">
        <v>0</v>
      </c>
      <c r="L40" s="28">
        <f>IF(K40=TRUE,H40*J40,0)</f>
        <v/>
      </c>
      <c r="M40" s="29">
        <f>SUM(L$14:L40)</f>
        <v/>
      </c>
    </row>
    <row r="41" ht="28" customHeight="1">
      <c r="B41" s="30" t="inlineStr">
        <is>
          <t>03.04</t>
        </is>
      </c>
      <c r="C41" s="31" t="inlineStr">
        <is>
          <t>Dépliant 3 volets</t>
        </is>
      </c>
      <c r="D41" s="32" t="inlineStr">
        <is>
          <t>Mise en page complète</t>
        </is>
      </c>
      <c r="E41" s="33" t="inlineStr">
        <is>
          <t>forfait</t>
        </is>
      </c>
      <c r="F41" s="34" t="n">
        <v>8</v>
      </c>
      <c r="G41" s="35">
        <f>IF(F41="","",F41/'Paramètres'!$C$10)</f>
        <v/>
      </c>
      <c r="H41" s="36" t="n">
        <v>624</v>
      </c>
      <c r="I41" s="37">
        <f>H41*(1+'Paramètres'!$C$11)</f>
        <v/>
      </c>
      <c r="J41" s="38" t="n">
        <v>1</v>
      </c>
      <c r="K41" s="39" t="b">
        <v>0</v>
      </c>
      <c r="L41" s="40">
        <f>IF(K41=TRUE,H41*J41,0)</f>
        <v/>
      </c>
      <c r="M41" s="41">
        <f>SUM(L$14:L41)</f>
        <v/>
      </c>
    </row>
    <row r="42" ht="28" customHeight="1">
      <c r="B42" s="18" t="inlineStr">
        <is>
          <t>03.05</t>
        </is>
      </c>
      <c r="C42" s="19" t="inlineStr">
        <is>
          <t>Brochure 8 pages</t>
        </is>
      </c>
      <c r="D42" s="20" t="inlineStr">
        <is>
          <t>Conception + mise en page</t>
        </is>
      </c>
      <c r="E42" s="21" t="inlineStr">
        <is>
          <t>forfait</t>
        </is>
      </c>
      <c r="F42" s="22" t="n">
        <v>16</v>
      </c>
      <c r="G42" s="23">
        <f>IF(F42="","",F42/'Paramètres'!$C$10)</f>
        <v/>
      </c>
      <c r="H42" s="24" t="n">
        <v>1248</v>
      </c>
      <c r="I42" s="25">
        <f>H42*(1+'Paramètres'!$C$11)</f>
        <v/>
      </c>
      <c r="J42" s="26" t="n">
        <v>1</v>
      </c>
      <c r="K42" s="27" t="b">
        <v>0</v>
      </c>
      <c r="L42" s="28">
        <f>IF(K42=TRUE,H42*J42,0)</f>
        <v/>
      </c>
      <c r="M42" s="29">
        <f>SUM(L$14:L42)</f>
        <v/>
      </c>
    </row>
    <row r="43" ht="28" customHeight="1">
      <c r="B43" s="30" t="inlineStr">
        <is>
          <t>03.06</t>
        </is>
      </c>
      <c r="C43" s="31" t="inlineStr">
        <is>
          <t>Catalogue / brochure — par page</t>
        </is>
      </c>
      <c r="D43" s="32" t="inlineStr">
        <is>
          <t>Mise en page, au-delà de 8 pages</t>
        </is>
      </c>
      <c r="E43" s="33" t="inlineStr">
        <is>
          <t>page</t>
        </is>
      </c>
      <c r="F43" s="34" t="n">
        <v>1.5</v>
      </c>
      <c r="G43" s="35">
        <f>IF(F43="","",F43/'Paramètres'!$C$10)</f>
        <v/>
      </c>
      <c r="H43" s="36" t="n">
        <v>120</v>
      </c>
      <c r="I43" s="37">
        <f>H43*(1+'Paramètres'!$C$11)</f>
        <v/>
      </c>
      <c r="J43" s="38" t="n">
        <v>1</v>
      </c>
      <c r="K43" s="39" t="b">
        <v>0</v>
      </c>
      <c r="L43" s="40">
        <f>IF(K43=TRUE,H43*J43,0)</f>
        <v/>
      </c>
      <c r="M43" s="41">
        <f>SUM(L$14:L43)</f>
        <v/>
      </c>
    </row>
    <row r="44" ht="28" customHeight="1">
      <c r="B44" s="18" t="inlineStr">
        <is>
          <t>03.07</t>
        </is>
      </c>
      <c r="C44" s="19" t="inlineStr">
        <is>
          <t>Affiche / poster</t>
        </is>
      </c>
      <c r="D44" s="20" t="inlineStr">
        <is>
          <t>Tout format</t>
        </is>
      </c>
      <c r="E44" s="21" t="inlineStr">
        <is>
          <t>forfait</t>
        </is>
      </c>
      <c r="F44" s="22" t="n">
        <v>4</v>
      </c>
      <c r="G44" s="23">
        <f>IF(F44="","",F44/'Paramètres'!$C$10)</f>
        <v/>
      </c>
      <c r="H44" s="24" t="n">
        <v>312</v>
      </c>
      <c r="I44" s="25">
        <f>H44*(1+'Paramètres'!$C$11)</f>
        <v/>
      </c>
      <c r="J44" s="26" t="n">
        <v>1</v>
      </c>
      <c r="K44" s="27" t="b">
        <v>0</v>
      </c>
      <c r="L44" s="28">
        <f>IF(K44=TRUE,H44*J44,0)</f>
        <v/>
      </c>
      <c r="M44" s="29">
        <f>SUM(L$14:L44)</f>
        <v/>
      </c>
    </row>
    <row r="45" ht="28" customHeight="1">
      <c r="B45" s="30" t="inlineStr">
        <is>
          <t>03.08</t>
        </is>
      </c>
      <c r="C45" s="31" t="inlineStr">
        <is>
          <t>Roll-up / kakémono</t>
        </is>
      </c>
      <c r="D45" s="32" t="inlineStr">
        <is>
          <t>Format standard 85 × 200 cm</t>
        </is>
      </c>
      <c r="E45" s="33" t="inlineStr">
        <is>
          <t>forfait</t>
        </is>
      </c>
      <c r="F45" s="34" t="n">
        <v>4</v>
      </c>
      <c r="G45" s="35">
        <f>IF(F45="","",F45/'Paramètres'!$C$10)</f>
        <v/>
      </c>
      <c r="H45" s="36" t="n">
        <v>312</v>
      </c>
      <c r="I45" s="37">
        <f>H45*(1+'Paramètres'!$C$11)</f>
        <v/>
      </c>
      <c r="J45" s="38" t="n">
        <v>1</v>
      </c>
      <c r="K45" s="39" t="b">
        <v>0</v>
      </c>
      <c r="L45" s="40">
        <f>IF(K45=TRUE,H45*J45,0)</f>
        <v/>
      </c>
      <c r="M45" s="41">
        <f>SUM(L$14:L45)</f>
        <v/>
      </c>
    </row>
    <row r="46" ht="28" customHeight="1">
      <c r="B46" s="18" t="inlineStr">
        <is>
          <t>03.09</t>
        </is>
      </c>
      <c r="C46" s="19" t="inlineStr">
        <is>
          <t>Bâche / banderole</t>
        </is>
      </c>
      <c r="D46" s="20" t="inlineStr">
        <is>
          <t>Grand format</t>
        </is>
      </c>
      <c r="E46" s="21" t="inlineStr">
        <is>
          <t>forfait</t>
        </is>
      </c>
      <c r="F46" s="22" t="n">
        <v>3</v>
      </c>
      <c r="G46" s="23">
        <f>IF(F46="","",F46/'Paramètres'!$C$10)</f>
        <v/>
      </c>
      <c r="H46" s="24" t="n">
        <v>234</v>
      </c>
      <c r="I46" s="25">
        <f>H46*(1+'Paramètres'!$C$11)</f>
        <v/>
      </c>
      <c r="J46" s="26" t="n">
        <v>1</v>
      </c>
      <c r="K46" s="27" t="b">
        <v>0</v>
      </c>
      <c r="L46" s="28">
        <f>IF(K46=TRUE,H46*J46,0)</f>
        <v/>
      </c>
      <c r="M46" s="29">
        <f>SUM(L$14:L46)</f>
        <v/>
      </c>
    </row>
    <row r="47" ht="28" customHeight="1">
      <c r="B47" s="30" t="inlineStr">
        <is>
          <t>03.10</t>
        </is>
      </c>
      <c r="C47" s="31" t="inlineStr">
        <is>
          <t>Annonce presse / magazine</t>
        </is>
      </c>
      <c r="D47" s="32" t="inlineStr">
        <is>
          <t>Création + déclinaisons formats</t>
        </is>
      </c>
      <c r="E47" s="33" t="inlineStr">
        <is>
          <t>forfait</t>
        </is>
      </c>
      <c r="F47" s="34" t="n">
        <v>3</v>
      </c>
      <c r="G47" s="35">
        <f>IF(F47="","",F47/'Paramètres'!$C$10)</f>
        <v/>
      </c>
      <c r="H47" s="36" t="n">
        <v>234</v>
      </c>
      <c r="I47" s="37">
        <f>H47*(1+'Paramètres'!$C$11)</f>
        <v/>
      </c>
      <c r="J47" s="38" t="n">
        <v>1</v>
      </c>
      <c r="K47" s="39" t="b">
        <v>0</v>
      </c>
      <c r="L47" s="40">
        <f>IF(K47=TRUE,H47*J47,0)</f>
        <v/>
      </c>
      <c r="M47" s="41">
        <f>SUM(L$14:L47)</f>
        <v/>
      </c>
    </row>
    <row r="48" ht="28" customHeight="1">
      <c r="B48" s="18" t="inlineStr">
        <is>
          <t>03.11</t>
        </is>
      </c>
      <c r="C48" s="19" t="inlineStr">
        <is>
          <t>Carton d'invitation</t>
        </is>
      </c>
      <c r="D48" s="20" t="inlineStr">
        <is>
          <t>Événement, portes ouvertes</t>
        </is>
      </c>
      <c r="E48" s="21" t="inlineStr">
        <is>
          <t>forfait</t>
        </is>
      </c>
      <c r="F48" s="22" t="n">
        <v>3</v>
      </c>
      <c r="G48" s="23">
        <f>IF(F48="","",F48/'Paramètres'!$C$10)</f>
        <v/>
      </c>
      <c r="H48" s="24" t="n">
        <v>234</v>
      </c>
      <c r="I48" s="25">
        <f>H48*(1+'Paramètres'!$C$11)</f>
        <v/>
      </c>
      <c r="J48" s="26" t="n">
        <v>1</v>
      </c>
      <c r="K48" s="27" t="b">
        <v>0</v>
      </c>
      <c r="L48" s="28">
        <f>IF(K48=TRUE,H48*J48,0)</f>
        <v/>
      </c>
      <c r="M48" s="29">
        <f>SUM(L$14:L48)</f>
        <v/>
      </c>
    </row>
    <row r="49" ht="28" customHeight="1">
      <c r="B49" s="30" t="inlineStr">
        <is>
          <t>03.12</t>
        </is>
      </c>
      <c r="C49" s="31" t="inlineStr">
        <is>
          <t>Packaging / étiquette</t>
        </is>
      </c>
      <c r="D49" s="32" t="inlineStr">
        <is>
          <t>Création d'un design de packaging</t>
        </is>
      </c>
      <c r="E49" s="33" t="inlineStr">
        <is>
          <t>forfait</t>
        </is>
      </c>
      <c r="F49" s="34" t="n">
        <v>16</v>
      </c>
      <c r="G49" s="35">
        <f>IF(F49="","",F49/'Paramètres'!$C$10)</f>
        <v/>
      </c>
      <c r="H49" s="36" t="n">
        <v>1248</v>
      </c>
      <c r="I49" s="37">
        <f>H49*(1+'Paramètres'!$C$11)</f>
        <v/>
      </c>
      <c r="J49" s="38" t="n">
        <v>1</v>
      </c>
      <c r="K49" s="39" t="b">
        <v>0</v>
      </c>
      <c r="L49" s="40">
        <f>IF(K49=TRUE,H49*J49,0)</f>
        <v/>
      </c>
      <c r="M49" s="41">
        <f>SUM(L$14:L49)</f>
        <v/>
      </c>
    </row>
    <row r="50" ht="28" customHeight="1">
      <c r="B50" s="18" t="inlineStr">
        <is>
          <t>03.13</t>
        </is>
      </c>
      <c r="C50" s="19" t="inlineStr">
        <is>
          <t>Déclinaison / adaptation de format</t>
        </is>
      </c>
      <c r="D50" s="20" t="inlineStr">
        <is>
          <t>Adaptation d'un visuel existant</t>
        </is>
      </c>
      <c r="E50" s="21" t="inlineStr">
        <is>
          <t>forfait</t>
        </is>
      </c>
      <c r="F50" s="22" t="n">
        <v>1</v>
      </c>
      <c r="G50" s="23">
        <f>IF(F50="","",F50/'Paramètres'!$C$10)</f>
        <v/>
      </c>
      <c r="H50" s="24" t="n">
        <v>78</v>
      </c>
      <c r="I50" s="25">
        <f>H50*(1+'Paramètres'!$C$11)</f>
        <v/>
      </c>
      <c r="J50" s="26" t="n">
        <v>1</v>
      </c>
      <c r="K50" s="27" t="b">
        <v>0</v>
      </c>
      <c r="L50" s="28">
        <f>IF(K50=TRUE,H50*J50,0)</f>
        <v/>
      </c>
      <c r="M50" s="29">
        <f>SUM(L$14:L50)</f>
        <v/>
      </c>
    </row>
    <row r="51" ht="8" customHeight="1"/>
    <row r="52" ht="24" customHeight="1">
      <c r="B52" s="15" t="inlineStr">
        <is>
          <t>04</t>
        </is>
      </c>
      <c r="C52" s="16" t="inlineStr">
        <is>
          <t>SIGNALÉTIQUE, SALONS &amp; ÉVÉNEMENTIEL</t>
        </is>
      </c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 ht="28" customHeight="1">
      <c r="B53" s="18" t="inlineStr">
        <is>
          <t>04.01</t>
        </is>
      </c>
      <c r="C53" s="19" t="inlineStr">
        <is>
          <t>Stand salon / foire</t>
        </is>
      </c>
      <c r="D53" s="20" t="inlineStr">
        <is>
          <t>Conception graphique du stand</t>
        </is>
      </c>
      <c r="E53" s="21" t="inlineStr">
        <is>
          <t>forfait</t>
        </is>
      </c>
      <c r="F53" s="22" t="n">
        <v>16</v>
      </c>
      <c r="G53" s="23">
        <f>IF(F53="","",F53/'Paramètres'!$C$10)</f>
        <v/>
      </c>
      <c r="H53" s="24" t="n">
        <v>1248</v>
      </c>
      <c r="I53" s="25">
        <f>H53*(1+'Paramètres'!$C$11)</f>
        <v/>
      </c>
      <c r="J53" s="26" t="n">
        <v>1</v>
      </c>
      <c r="K53" s="27" t="b">
        <v>0</v>
      </c>
      <c r="L53" s="28">
        <f>IF(K53=TRUE,H53*J53,0)</f>
        <v/>
      </c>
      <c r="M53" s="29">
        <f>SUM(L$14:L53)</f>
        <v/>
      </c>
    </row>
    <row r="54" ht="28" customHeight="1">
      <c r="B54" s="30" t="inlineStr">
        <is>
          <t>04.02</t>
        </is>
      </c>
      <c r="C54" s="31" t="inlineStr">
        <is>
          <t>Habillage véhicule</t>
        </is>
      </c>
      <c r="D54" s="32" t="inlineStr">
        <is>
          <t>Utilitaire ou voiture de service</t>
        </is>
      </c>
      <c r="E54" s="33" t="inlineStr">
        <is>
          <t>forfait</t>
        </is>
      </c>
      <c r="F54" s="34" t="n">
        <v>8</v>
      </c>
      <c r="G54" s="35">
        <f>IF(F54="","",F54/'Paramètres'!$C$10)</f>
        <v/>
      </c>
      <c r="H54" s="36" t="n">
        <v>624</v>
      </c>
      <c r="I54" s="37">
        <f>H54*(1+'Paramètres'!$C$11)</f>
        <v/>
      </c>
      <c r="J54" s="38" t="n">
        <v>1</v>
      </c>
      <c r="K54" s="39" t="b">
        <v>0</v>
      </c>
      <c r="L54" s="40">
        <f>IF(K54=TRUE,H54*J54,0)</f>
        <v/>
      </c>
      <c r="M54" s="41">
        <f>SUM(L$14:L54)</f>
        <v/>
      </c>
    </row>
    <row r="55" ht="28" customHeight="1">
      <c r="B55" s="18" t="inlineStr">
        <is>
          <t>04.03</t>
        </is>
      </c>
      <c r="C55" s="19" t="inlineStr">
        <is>
          <t>Vitrine / enseigne</t>
        </is>
      </c>
      <c r="D55" s="20" t="inlineStr">
        <is>
          <t>Design de façade ou vitrophanie</t>
        </is>
      </c>
      <c r="E55" s="21" t="inlineStr">
        <is>
          <t>forfait</t>
        </is>
      </c>
      <c r="F55" s="22" t="n">
        <v>6</v>
      </c>
      <c r="G55" s="23">
        <f>IF(F55="","",F55/'Paramètres'!$C$10)</f>
        <v/>
      </c>
      <c r="H55" s="24" t="n">
        <v>468</v>
      </c>
      <c r="I55" s="25">
        <f>H55*(1+'Paramètres'!$C$11)</f>
        <v/>
      </c>
      <c r="J55" s="26" t="n">
        <v>1</v>
      </c>
      <c r="K55" s="27" t="b">
        <v>0</v>
      </c>
      <c r="L55" s="28">
        <f>IF(K55=TRUE,H55*J55,0)</f>
        <v/>
      </c>
      <c r="M55" s="29">
        <f>SUM(L$14:L55)</f>
        <v/>
      </c>
    </row>
    <row r="56" ht="28" customHeight="1">
      <c r="B56" s="30" t="inlineStr">
        <is>
          <t>04.04</t>
        </is>
      </c>
      <c r="C56" s="31" t="inlineStr">
        <is>
          <t>Signalétique intérieure / showroom</t>
        </is>
      </c>
      <c r="D56" s="32" t="inlineStr">
        <is>
          <t>Panneaux, directionnel, PLV</t>
        </is>
      </c>
      <c r="E56" s="33" t="inlineStr">
        <is>
          <t>forfait</t>
        </is>
      </c>
      <c r="F56" s="34" t="n">
        <v>8</v>
      </c>
      <c r="G56" s="35">
        <f>IF(F56="","",F56/'Paramètres'!$C$10)</f>
        <v/>
      </c>
      <c r="H56" s="36" t="n">
        <v>624</v>
      </c>
      <c r="I56" s="37">
        <f>H56*(1+'Paramètres'!$C$11)</f>
        <v/>
      </c>
      <c r="J56" s="38" t="n">
        <v>1</v>
      </c>
      <c r="K56" s="39" t="b">
        <v>0</v>
      </c>
      <c r="L56" s="40">
        <f>IF(K56=TRUE,H56*J56,0)</f>
        <v/>
      </c>
      <c r="M56" s="41">
        <f>SUM(L$14:L56)</f>
        <v/>
      </c>
    </row>
    <row r="57" ht="28" customHeight="1">
      <c r="B57" s="18" t="inlineStr">
        <is>
          <t>04.05</t>
        </is>
      </c>
      <c r="C57" s="19" t="inlineStr">
        <is>
          <t>PLV / présentoir</t>
        </is>
      </c>
      <c r="D57" s="20" t="inlineStr">
        <is>
          <t>Présentoir comptoir ou sol</t>
        </is>
      </c>
      <c r="E57" s="21" t="inlineStr">
        <is>
          <t>forfait</t>
        </is>
      </c>
      <c r="F57" s="22" t="n">
        <v>6</v>
      </c>
      <c r="G57" s="23">
        <f>IF(F57="","",F57/'Paramètres'!$C$10)</f>
        <v/>
      </c>
      <c r="H57" s="24" t="n">
        <v>468</v>
      </c>
      <c r="I57" s="25">
        <f>H57*(1+'Paramètres'!$C$11)</f>
        <v/>
      </c>
      <c r="J57" s="26" t="n">
        <v>1</v>
      </c>
      <c r="K57" s="27" t="b">
        <v>0</v>
      </c>
      <c r="L57" s="28">
        <f>IF(K57=TRUE,H57*J57,0)</f>
        <v/>
      </c>
      <c r="M57" s="29">
        <f>SUM(L$14:L57)</f>
        <v/>
      </c>
    </row>
    <row r="58" ht="8" customHeight="1"/>
    <row r="59" ht="24" customHeight="1">
      <c r="B59" s="15" t="inlineStr">
        <is>
          <t>05</t>
        </is>
      </c>
      <c r="C59" s="16" t="inlineStr">
        <is>
          <t>ILLUSTRATION, 3D &amp; INFOGRAPHIE</t>
        </is>
      </c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</row>
    <row r="60" ht="28" customHeight="1">
      <c r="B60" s="18" t="inlineStr">
        <is>
          <t>05.01</t>
        </is>
      </c>
      <c r="C60" s="19" t="inlineStr">
        <is>
          <t>Illustration simple</t>
        </is>
      </c>
      <c r="D60" s="20" t="inlineStr">
        <is>
          <t>Pictogramme élaboré, dessin au trait</t>
        </is>
      </c>
      <c r="E60" s="21" t="inlineStr">
        <is>
          <t>forfait</t>
        </is>
      </c>
      <c r="F60" s="22" t="n">
        <v>3</v>
      </c>
      <c r="G60" s="23">
        <f>IF(F60="","",F60/'Paramètres'!$C$10)</f>
        <v/>
      </c>
      <c r="H60" s="24" t="n">
        <v>234</v>
      </c>
      <c r="I60" s="25">
        <f>H60*(1+'Paramètres'!$C$11)</f>
        <v/>
      </c>
      <c r="J60" s="26" t="n">
        <v>1</v>
      </c>
      <c r="K60" s="27" t="b">
        <v>0</v>
      </c>
      <c r="L60" s="28">
        <f>IF(K60=TRUE,H60*J60,0)</f>
        <v/>
      </c>
      <c r="M60" s="29">
        <f>SUM(L$14:L60)</f>
        <v/>
      </c>
    </row>
    <row r="61" ht="28" customHeight="1">
      <c r="B61" s="30" t="inlineStr">
        <is>
          <t>05.02</t>
        </is>
      </c>
      <c r="C61" s="31" t="inlineStr">
        <is>
          <t>Illustration détaillée</t>
        </is>
      </c>
      <c r="D61" s="32" t="inlineStr">
        <is>
          <t>Illustration couleur complexe</t>
        </is>
      </c>
      <c r="E61" s="33" t="inlineStr">
        <is>
          <t>forfait</t>
        </is>
      </c>
      <c r="F61" s="34" t="n">
        <v>10</v>
      </c>
      <c r="G61" s="35">
        <f>IF(F61="","",F61/'Paramètres'!$C$10)</f>
        <v/>
      </c>
      <c r="H61" s="36" t="n">
        <v>780</v>
      </c>
      <c r="I61" s="37">
        <f>H61*(1+'Paramètres'!$C$11)</f>
        <v/>
      </c>
      <c r="J61" s="38" t="n">
        <v>1</v>
      </c>
      <c r="K61" s="39" t="b">
        <v>0</v>
      </c>
      <c r="L61" s="40">
        <f>IF(K61=TRUE,H61*J61,0)</f>
        <v/>
      </c>
      <c r="M61" s="41">
        <f>SUM(L$14:L61)</f>
        <v/>
      </c>
    </row>
    <row r="62" ht="28" customHeight="1">
      <c r="B62" s="18" t="inlineStr">
        <is>
          <t>05.03</t>
        </is>
      </c>
      <c r="C62" s="19" t="inlineStr">
        <is>
          <t>Pack de 10 pictogrammes</t>
        </is>
      </c>
      <c r="D62" s="20" t="inlineStr">
        <is>
          <t>Set d'icônes cohérent</t>
        </is>
      </c>
      <c r="E62" s="21" t="inlineStr">
        <is>
          <t>forfait</t>
        </is>
      </c>
      <c r="F62" s="22" t="n">
        <v>8</v>
      </c>
      <c r="G62" s="23">
        <f>IF(F62="","",F62/'Paramètres'!$C$10)</f>
        <v/>
      </c>
      <c r="H62" s="24" t="n">
        <v>624</v>
      </c>
      <c r="I62" s="25">
        <f>H62*(1+'Paramètres'!$C$11)</f>
        <v/>
      </c>
      <c r="J62" s="26" t="n">
        <v>1</v>
      </c>
      <c r="K62" s="27" t="b">
        <v>0</v>
      </c>
      <c r="L62" s="28">
        <f>IF(K62=TRUE,H62*J62,0)</f>
        <v/>
      </c>
      <c r="M62" s="29">
        <f>SUM(L$14:L62)</f>
        <v/>
      </c>
    </row>
    <row r="63" ht="28" customHeight="1">
      <c r="B63" s="30" t="inlineStr">
        <is>
          <t>05.04</t>
        </is>
      </c>
      <c r="C63" s="31" t="inlineStr">
        <is>
          <t>Infographie</t>
        </is>
      </c>
      <c r="D63" s="32" t="inlineStr">
        <is>
          <t>Schéma, données, processus</t>
        </is>
      </c>
      <c r="E63" s="33" t="inlineStr">
        <is>
          <t>forfait</t>
        </is>
      </c>
      <c r="F63" s="34" t="n">
        <v>6</v>
      </c>
      <c r="G63" s="35">
        <f>IF(F63="","",F63/'Paramètres'!$C$10)</f>
        <v/>
      </c>
      <c r="H63" s="36" t="n">
        <v>468</v>
      </c>
      <c r="I63" s="37">
        <f>H63*(1+'Paramètres'!$C$11)</f>
        <v/>
      </c>
      <c r="J63" s="38" t="n">
        <v>1</v>
      </c>
      <c r="K63" s="39" t="b">
        <v>0</v>
      </c>
      <c r="L63" s="40">
        <f>IF(K63=TRUE,H63*J63,0)</f>
        <v/>
      </c>
      <c r="M63" s="41">
        <f>SUM(L$14:L63)</f>
        <v/>
      </c>
    </row>
    <row r="64" ht="28" customHeight="1">
      <c r="B64" s="18" t="inlineStr">
        <is>
          <t>05.05</t>
        </is>
      </c>
      <c r="C64" s="19" t="inlineStr">
        <is>
          <t>Modélisation 3D &amp; rendu</t>
        </is>
      </c>
      <c r="D64" s="20" t="inlineStr">
        <is>
          <t>Modèle 3D + 3 rendus photoréalistes</t>
        </is>
      </c>
      <c r="E64" s="21" t="inlineStr">
        <is>
          <t>forfait</t>
        </is>
      </c>
      <c r="F64" s="22" t="n">
        <v>16</v>
      </c>
      <c r="G64" s="23">
        <f>IF(F64="","",F64/'Paramètres'!$C$10)</f>
        <v/>
      </c>
      <c r="H64" s="24" t="n">
        <v>1440</v>
      </c>
      <c r="I64" s="25">
        <f>H64*(1+'Paramètres'!$C$11)</f>
        <v/>
      </c>
      <c r="J64" s="26" t="n">
        <v>1</v>
      </c>
      <c r="K64" s="27" t="b">
        <v>0</v>
      </c>
      <c r="L64" s="28">
        <f>IF(K64=TRUE,H64*J64,0)</f>
        <v/>
      </c>
      <c r="M64" s="29">
        <f>SUM(L$14:L64)</f>
        <v/>
      </c>
    </row>
    <row r="65" ht="28" customHeight="1">
      <c r="B65" s="30" t="inlineStr">
        <is>
          <t>05.06</t>
        </is>
      </c>
      <c r="C65" s="31" t="inlineStr">
        <is>
          <t>Mockups / mises en situation</t>
        </is>
      </c>
      <c r="D65" s="32" t="inlineStr">
        <is>
          <t>3 visuels de présentation</t>
        </is>
      </c>
      <c r="E65" s="33" t="inlineStr">
        <is>
          <t>forfait</t>
        </is>
      </c>
      <c r="F65" s="34" t="n">
        <v>2</v>
      </c>
      <c r="G65" s="35">
        <f>IF(F65="","",F65/'Paramètres'!$C$10)</f>
        <v/>
      </c>
      <c r="H65" s="36" t="n">
        <v>156</v>
      </c>
      <c r="I65" s="37">
        <f>H65*(1+'Paramètres'!$C$11)</f>
        <v/>
      </c>
      <c r="J65" s="38" t="n">
        <v>1</v>
      </c>
      <c r="K65" s="39" t="b">
        <v>0</v>
      </c>
      <c r="L65" s="40">
        <f>IF(K65=TRUE,H65*J65,0)</f>
        <v/>
      </c>
      <c r="M65" s="41">
        <f>SUM(L$14:L65)</f>
        <v/>
      </c>
    </row>
    <row r="66" ht="8" customHeight="1"/>
    <row r="67" ht="24" customHeight="1">
      <c r="B67" s="15" t="inlineStr">
        <is>
          <t>06</t>
        </is>
      </c>
      <c r="C67" s="16" t="inlineStr">
        <is>
          <t>PHOTOGRAPHIE</t>
        </is>
      </c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</row>
    <row r="68" ht="28" customHeight="1">
      <c r="B68" s="18" t="inlineStr">
        <is>
          <t>06.01</t>
        </is>
      </c>
      <c r="C68" s="19" t="inlineStr">
        <is>
          <t>Shooting photo — demi-journée</t>
        </is>
      </c>
      <c r="D68" s="20" t="inlineStr">
        <is>
          <t>4 h sur site, 20 photos sélectionnées en HD, matériel inclus</t>
        </is>
      </c>
      <c r="E68" s="21" t="inlineStr">
        <is>
          <t>demi-journée</t>
        </is>
      </c>
      <c r="F68" s="22" t="n">
        <v>4</v>
      </c>
      <c r="G68" s="23">
        <f>IF(F68="","",F68/'Paramètres'!$C$10)</f>
        <v/>
      </c>
      <c r="H68" s="24" t="n">
        <v>396</v>
      </c>
      <c r="I68" s="25">
        <f>H68*(1+'Paramètres'!$C$11)</f>
        <v/>
      </c>
      <c r="J68" s="26" t="n">
        <v>1</v>
      </c>
      <c r="K68" s="27" t="b">
        <v>0</v>
      </c>
      <c r="L68" s="28">
        <f>IF(K68=TRUE,H68*J68,0)</f>
        <v/>
      </c>
      <c r="M68" s="29">
        <f>SUM(L$14:L68)</f>
        <v/>
      </c>
    </row>
    <row r="69" ht="28" customHeight="1">
      <c r="B69" s="30" t="inlineStr">
        <is>
          <t>06.02</t>
        </is>
      </c>
      <c r="C69" s="31" t="inlineStr">
        <is>
          <t>Shooting photo — journée</t>
        </is>
      </c>
      <c r="D69" s="32" t="inlineStr">
        <is>
          <t>8 h sur site, 40 photos sélectionnées en HD, matériel inclus</t>
        </is>
      </c>
      <c r="E69" s="33" t="inlineStr">
        <is>
          <t>jour</t>
        </is>
      </c>
      <c r="F69" s="34" t="n">
        <v>8</v>
      </c>
      <c r="G69" s="35">
        <f>IF(F69="","",F69/'Paramètres'!$C$10)</f>
        <v/>
      </c>
      <c r="H69" s="36" t="n">
        <v>768</v>
      </c>
      <c r="I69" s="37">
        <f>H69*(1+'Paramètres'!$C$11)</f>
        <v/>
      </c>
      <c r="J69" s="38" t="n">
        <v>1</v>
      </c>
      <c r="K69" s="39" t="b">
        <v>0</v>
      </c>
      <c r="L69" s="40">
        <f>IF(K69=TRUE,H69*J69,0)</f>
        <v/>
      </c>
      <c r="M69" s="41">
        <f>SUM(L$14:L69)</f>
        <v/>
      </c>
    </row>
    <row r="70" ht="28" customHeight="1">
      <c r="B70" s="18" t="inlineStr">
        <is>
          <t>06.03</t>
        </is>
      </c>
      <c r="C70" s="19" t="inlineStr">
        <is>
          <t>Packshot produit — par photo</t>
        </is>
      </c>
      <c r="D70" s="20" t="inlineStr">
        <is>
          <t>Fond blanc ou mise en scène</t>
        </is>
      </c>
      <c r="E70" s="21" t="inlineStr">
        <is>
          <t>photo</t>
        </is>
      </c>
      <c r="F70" s="22" t="n">
        <v>0.5</v>
      </c>
      <c r="G70" s="23">
        <f>IF(F70="","",F70/'Paramètres'!$C$10)</f>
        <v/>
      </c>
      <c r="H70" s="24" t="n">
        <v>42</v>
      </c>
      <c r="I70" s="25">
        <f>H70*(1+'Paramètres'!$C$11)</f>
        <v/>
      </c>
      <c r="J70" s="26" t="n">
        <v>1</v>
      </c>
      <c r="K70" s="27" t="b">
        <v>0</v>
      </c>
      <c r="L70" s="28">
        <f>IF(K70=TRUE,H70*J70,0)</f>
        <v/>
      </c>
      <c r="M70" s="29">
        <f>SUM(L$14:L70)</f>
        <v/>
      </c>
    </row>
    <row r="71" ht="28" customHeight="1">
      <c r="B71" s="30" t="inlineStr">
        <is>
          <t>06.04</t>
        </is>
      </c>
      <c r="C71" s="31" t="inlineStr">
        <is>
          <t>Portraits corporate</t>
        </is>
      </c>
      <c r="D71" s="32" t="inlineStr">
        <is>
          <t>Équipe / dirigeants, jusqu'à 10 personnes</t>
        </is>
      </c>
      <c r="E71" s="33" t="inlineStr">
        <is>
          <t>forfait</t>
        </is>
      </c>
      <c r="F71" s="34" t="n">
        <v>4</v>
      </c>
      <c r="G71" s="35">
        <f>IF(F71="","",F71/'Paramètres'!$C$10)</f>
        <v/>
      </c>
      <c r="H71" s="36" t="n">
        <v>396</v>
      </c>
      <c r="I71" s="37">
        <f>H71*(1+'Paramètres'!$C$11)</f>
        <v/>
      </c>
      <c r="J71" s="38" t="n">
        <v>1</v>
      </c>
      <c r="K71" s="39" t="b">
        <v>0</v>
      </c>
      <c r="L71" s="40">
        <f>IF(K71=TRUE,H71*J71,0)</f>
        <v/>
      </c>
      <c r="M71" s="41">
        <f>SUM(L$14:L71)</f>
        <v/>
      </c>
    </row>
    <row r="72" ht="28" customHeight="1">
      <c r="B72" s="18" t="inlineStr">
        <is>
          <t>06.05</t>
        </is>
      </c>
      <c r="C72" s="19" t="inlineStr">
        <is>
          <t>Reportage événement / chantier</t>
        </is>
      </c>
      <c r="D72" s="20" t="inlineStr">
        <is>
          <t>Couverture 4 h, sélection livrée en HD</t>
        </is>
      </c>
      <c r="E72" s="21" t="inlineStr">
        <is>
          <t>forfait</t>
        </is>
      </c>
      <c r="F72" s="22" t="n">
        <v>5</v>
      </c>
      <c r="G72" s="23">
        <f>IF(F72="","",F72/'Paramètres'!$C$10)</f>
        <v/>
      </c>
      <c r="H72" s="24" t="n">
        <v>480</v>
      </c>
      <c r="I72" s="25">
        <f>H72*(1+'Paramètres'!$C$11)</f>
        <v/>
      </c>
      <c r="J72" s="26" t="n">
        <v>1</v>
      </c>
      <c r="K72" s="27" t="b">
        <v>0</v>
      </c>
      <c r="L72" s="28">
        <f>IF(K72=TRUE,H72*J72,0)</f>
        <v/>
      </c>
      <c r="M72" s="29">
        <f>SUM(L$14:L72)</f>
        <v/>
      </c>
    </row>
    <row r="73" ht="28" customHeight="1">
      <c r="B73" s="30" t="inlineStr">
        <is>
          <t>06.06</t>
        </is>
      </c>
      <c r="C73" s="31" t="inlineStr">
        <is>
          <t>Photo aérienne par drone</t>
        </is>
      </c>
      <c r="D73" s="32" t="inlineStr">
        <is>
          <t>Demi-journée, pilote certifié</t>
        </is>
      </c>
      <c r="E73" s="33" t="inlineStr">
        <is>
          <t>demi-journée</t>
        </is>
      </c>
      <c r="F73" s="34" t="n">
        <v>4</v>
      </c>
      <c r="G73" s="35">
        <f>IF(F73="","",F73/'Paramètres'!$C$10)</f>
        <v/>
      </c>
      <c r="H73" s="36" t="n">
        <v>588</v>
      </c>
      <c r="I73" s="37">
        <f>H73*(1+'Paramètres'!$C$11)</f>
        <v/>
      </c>
      <c r="J73" s="38" t="n">
        <v>1</v>
      </c>
      <c r="K73" s="39" t="b">
        <v>0</v>
      </c>
      <c r="L73" s="40">
        <f>IF(K73=TRUE,H73*J73,0)</f>
        <v/>
      </c>
      <c r="M73" s="41">
        <f>SUM(L$14:L73)</f>
        <v/>
      </c>
    </row>
    <row r="74" ht="8" customHeight="1"/>
    <row r="75" ht="24" customHeight="1">
      <c r="B75" s="15" t="inlineStr">
        <is>
          <t>07</t>
        </is>
      </c>
      <c r="C75" s="16" t="inlineStr">
        <is>
          <t>VIDÉO &amp; MOTION DESIGN</t>
        </is>
      </c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</row>
    <row r="76" ht="28" customHeight="1">
      <c r="B76" s="18" t="inlineStr">
        <is>
          <t>07.01</t>
        </is>
      </c>
      <c r="C76" s="19" t="inlineStr">
        <is>
          <t>Tournage — demi-journée</t>
        </is>
      </c>
      <c r="D76" s="20" t="inlineStr">
        <is>
          <t>Vidéaste + matériel (caméra, son, lumière)</t>
        </is>
      </c>
      <c r="E76" s="21" t="inlineStr">
        <is>
          <t>demi-journée</t>
        </is>
      </c>
      <c r="F76" s="22" t="n">
        <v>4</v>
      </c>
      <c r="G76" s="23">
        <f>IF(F76="","",F76/'Paramètres'!$C$10)</f>
        <v/>
      </c>
      <c r="H76" s="24" t="n">
        <v>480</v>
      </c>
      <c r="I76" s="25">
        <f>H76*(1+'Paramètres'!$C$11)</f>
        <v/>
      </c>
      <c r="J76" s="26" t="n">
        <v>1</v>
      </c>
      <c r="K76" s="27" t="b">
        <v>0</v>
      </c>
      <c r="L76" s="28">
        <f>IF(K76=TRUE,H76*J76,0)</f>
        <v/>
      </c>
      <c r="M76" s="29">
        <f>SUM(L$14:L76)</f>
        <v/>
      </c>
    </row>
    <row r="77" ht="28" customHeight="1">
      <c r="B77" s="30" t="inlineStr">
        <is>
          <t>07.02</t>
        </is>
      </c>
      <c r="C77" s="31" t="inlineStr">
        <is>
          <t>Tournage — journée</t>
        </is>
      </c>
      <c r="D77" s="32" t="inlineStr">
        <is>
          <t>Vidéaste + matériel (caméra, son, lumière)</t>
        </is>
      </c>
      <c r="E77" s="33" t="inlineStr">
        <is>
          <t>jour</t>
        </is>
      </c>
      <c r="F77" s="34" t="n">
        <v>8</v>
      </c>
      <c r="G77" s="35">
        <f>IF(F77="","",F77/'Paramètres'!$C$10)</f>
        <v/>
      </c>
      <c r="H77" s="36" t="n">
        <v>900</v>
      </c>
      <c r="I77" s="37">
        <f>H77*(1+'Paramètres'!$C$11)</f>
        <v/>
      </c>
      <c r="J77" s="38" t="n">
        <v>1</v>
      </c>
      <c r="K77" s="39" t="b">
        <v>0</v>
      </c>
      <c r="L77" s="40">
        <f>IF(K77=TRUE,H77*J77,0)</f>
        <v/>
      </c>
      <c r="M77" s="41">
        <f>SUM(L$14:L77)</f>
        <v/>
      </c>
    </row>
    <row r="78" ht="28" customHeight="1">
      <c r="B78" s="18" t="inlineStr">
        <is>
          <t>07.03</t>
        </is>
      </c>
      <c r="C78" s="19" t="inlineStr">
        <is>
          <t>Prises de vue drone</t>
        </is>
      </c>
      <c r="D78" s="20" t="inlineStr">
        <is>
          <t>Demi-journée, pilote certifié</t>
        </is>
      </c>
      <c r="E78" s="21" t="inlineStr">
        <is>
          <t>demi-journée</t>
        </is>
      </c>
      <c r="F78" s="22" t="n">
        <v>4</v>
      </c>
      <c r="G78" s="23">
        <f>IF(F78="","",F78/'Paramètres'!$C$10)</f>
        <v/>
      </c>
      <c r="H78" s="24" t="n">
        <v>588</v>
      </c>
      <c r="I78" s="25">
        <f>H78*(1+'Paramètres'!$C$11)</f>
        <v/>
      </c>
      <c r="J78" s="26" t="n">
        <v>1</v>
      </c>
      <c r="K78" s="27" t="b">
        <v>0</v>
      </c>
      <c r="L78" s="28">
        <f>IF(K78=TRUE,H78*J78,0)</f>
        <v/>
      </c>
      <c r="M78" s="29">
        <f>SUM(L$14:L78)</f>
        <v/>
      </c>
    </row>
    <row r="79" ht="28" customHeight="1">
      <c r="B79" s="30" t="inlineStr">
        <is>
          <t>07.04</t>
        </is>
      </c>
      <c r="C79" s="31" t="inlineStr">
        <is>
          <t>Heure de montage</t>
        </is>
      </c>
      <c r="D79" s="32" t="inlineStr">
        <is>
          <t>Montage, étalonnage, mixage</t>
        </is>
      </c>
      <c r="E79" s="33" t="inlineStr">
        <is>
          <t>heure</t>
        </is>
      </c>
      <c r="F79" s="34" t="n">
        <v>1</v>
      </c>
      <c r="G79" s="35">
        <f>IF(F79="","",F79/'Paramètres'!$C$10)</f>
        <v/>
      </c>
      <c r="H79" s="36" t="n">
        <v>84</v>
      </c>
      <c r="I79" s="37">
        <f>H79*(1+'Paramètres'!$C$11)</f>
        <v/>
      </c>
      <c r="J79" s="38" t="n">
        <v>1</v>
      </c>
      <c r="K79" s="39" t="b">
        <v>0</v>
      </c>
      <c r="L79" s="40">
        <f>IF(K79=TRUE,H79*J79,0)</f>
        <v/>
      </c>
      <c r="M79" s="41">
        <f>SUM(L$14:L79)</f>
        <v/>
      </c>
    </row>
    <row r="80" ht="28" customHeight="1">
      <c r="B80" s="18" t="inlineStr">
        <is>
          <t>07.05</t>
        </is>
      </c>
      <c r="C80" s="19" t="inlineStr">
        <is>
          <t>Film de présentation 1–2 min</t>
        </is>
      </c>
      <c r="D80" s="20" t="inlineStr">
        <is>
          <t>Montage complet, 2 allers-retours</t>
        </is>
      </c>
      <c r="E80" s="21" t="inlineStr">
        <is>
          <t>forfait</t>
        </is>
      </c>
      <c r="F80" s="22" t="n">
        <v>16</v>
      </c>
      <c r="G80" s="23">
        <f>IF(F80="","",F80/'Paramètres'!$C$10)</f>
        <v/>
      </c>
      <c r="H80" s="24" t="n">
        <v>1344</v>
      </c>
      <c r="I80" s="25">
        <f>H80*(1+'Paramètres'!$C$11)</f>
        <v/>
      </c>
      <c r="J80" s="26" t="n">
        <v>1</v>
      </c>
      <c r="K80" s="27" t="b">
        <v>0</v>
      </c>
      <c r="L80" s="28">
        <f>IF(K80=TRUE,H80*J80,0)</f>
        <v/>
      </c>
      <c r="M80" s="29">
        <f>SUM(L$14:L80)</f>
        <v/>
      </c>
    </row>
    <row r="81" ht="28" customHeight="1">
      <c r="B81" s="30" t="inlineStr">
        <is>
          <t>07.06</t>
        </is>
      </c>
      <c r="C81" s="31" t="inlineStr">
        <is>
          <t>Vidéo témoignage client</t>
        </is>
      </c>
      <c r="D81" s="32" t="inlineStr">
        <is>
          <t>Interview montée, 1–2 min</t>
        </is>
      </c>
      <c r="E81" s="33" t="inlineStr">
        <is>
          <t>forfait</t>
        </is>
      </c>
      <c r="F81" s="34" t="n">
        <v>8</v>
      </c>
      <c r="G81" s="35">
        <f>IF(F81="","",F81/'Paramètres'!$C$10)</f>
        <v/>
      </c>
      <c r="H81" s="36" t="n">
        <v>672</v>
      </c>
      <c r="I81" s="37">
        <f>H81*(1+'Paramètres'!$C$11)</f>
        <v/>
      </c>
      <c r="J81" s="38" t="n">
        <v>1</v>
      </c>
      <c r="K81" s="39" t="b">
        <v>0</v>
      </c>
      <c r="L81" s="40">
        <f>IF(K81=TRUE,H81*J81,0)</f>
        <v/>
      </c>
      <c r="M81" s="41">
        <f>SUM(L$14:L81)</f>
        <v/>
      </c>
    </row>
    <row r="82" ht="28" customHeight="1">
      <c r="B82" s="18" t="inlineStr">
        <is>
          <t>07.07</t>
        </is>
      </c>
      <c r="C82" s="19" t="inlineStr">
        <is>
          <t>Réel / short réseaux sociaux</t>
        </is>
      </c>
      <c r="D82" s="20" t="inlineStr">
        <is>
          <t>Format vertical ≤ 60 s</t>
        </is>
      </c>
      <c r="E82" s="21" t="inlineStr">
        <is>
          <t>forfait</t>
        </is>
      </c>
      <c r="F82" s="22" t="n">
        <v>3</v>
      </c>
      <c r="G82" s="23">
        <f>IF(F82="","",F82/'Paramètres'!$C$10)</f>
        <v/>
      </c>
      <c r="H82" s="24" t="n">
        <v>252</v>
      </c>
      <c r="I82" s="25">
        <f>H82*(1+'Paramètres'!$C$11)</f>
        <v/>
      </c>
      <c r="J82" s="26" t="n">
        <v>1</v>
      </c>
      <c r="K82" s="27" t="b">
        <v>0</v>
      </c>
      <c r="L82" s="28">
        <f>IF(K82=TRUE,H82*J82,0)</f>
        <v/>
      </c>
      <c r="M82" s="29">
        <f>SUM(L$14:L82)</f>
        <v/>
      </c>
    </row>
    <row r="83" ht="28" customHeight="1">
      <c r="B83" s="30" t="inlineStr">
        <is>
          <t>07.08</t>
        </is>
      </c>
      <c r="C83" s="31" t="inlineStr">
        <is>
          <t>Motion design 30 s</t>
        </is>
      </c>
      <c r="D83" s="32" t="inlineStr">
        <is>
          <t>Animation 2D, script et storyboard inclus</t>
        </is>
      </c>
      <c r="E83" s="33" t="inlineStr">
        <is>
          <t>forfait</t>
        </is>
      </c>
      <c r="F83" s="34" t="n">
        <v>24</v>
      </c>
      <c r="G83" s="35">
        <f>IF(F83="","",F83/'Paramètres'!$C$10)</f>
        <v/>
      </c>
      <c r="H83" s="36" t="n">
        <v>2016</v>
      </c>
      <c r="I83" s="37">
        <f>H83*(1+'Paramètres'!$C$11)</f>
        <v/>
      </c>
      <c r="J83" s="38" t="n">
        <v>1</v>
      </c>
      <c r="K83" s="39" t="b">
        <v>0</v>
      </c>
      <c r="L83" s="40">
        <f>IF(K83=TRUE,H83*J83,0)</f>
        <v/>
      </c>
      <c r="M83" s="41">
        <f>SUM(L$14:L83)</f>
        <v/>
      </c>
    </row>
    <row r="84" ht="28" customHeight="1">
      <c r="B84" s="18" t="inlineStr">
        <is>
          <t>07.09</t>
        </is>
      </c>
      <c r="C84" s="19" t="inlineStr">
        <is>
          <t>Animation de logo</t>
        </is>
      </c>
      <c r="D84" s="20" t="inlineStr">
        <is>
          <t>Logo animé (intro / outro)</t>
        </is>
      </c>
      <c r="E84" s="21" t="inlineStr">
        <is>
          <t>forfait</t>
        </is>
      </c>
      <c r="F84" s="22" t="n">
        <v>6</v>
      </c>
      <c r="G84" s="23">
        <f>IF(F84="","",F84/'Paramètres'!$C$10)</f>
        <v/>
      </c>
      <c r="H84" s="24" t="n">
        <v>504</v>
      </c>
      <c r="I84" s="25">
        <f>H84*(1+'Paramètres'!$C$11)</f>
        <v/>
      </c>
      <c r="J84" s="26" t="n">
        <v>1</v>
      </c>
      <c r="K84" s="27" t="b">
        <v>0</v>
      </c>
      <c r="L84" s="28">
        <f>IF(K84=TRUE,H84*J84,0)</f>
        <v/>
      </c>
      <c r="M84" s="29">
        <f>SUM(L$14:L84)</f>
        <v/>
      </c>
    </row>
    <row r="85" ht="28" customHeight="1">
      <c r="B85" s="30" t="inlineStr">
        <is>
          <t>07.10</t>
        </is>
      </c>
      <c r="C85" s="31" t="inlineStr">
        <is>
          <t>Animation 3D</t>
        </is>
      </c>
      <c r="D85" s="32" t="inlineStr">
        <is>
          <t>Visualisation produit / installation</t>
        </is>
      </c>
      <c r="E85" s="33" t="inlineStr">
        <is>
          <t>forfait</t>
        </is>
      </c>
      <c r="F85" s="34" t="n">
        <v>24</v>
      </c>
      <c r="G85" s="35">
        <f>IF(F85="","",F85/'Paramètres'!$C$10)</f>
        <v/>
      </c>
      <c r="H85" s="36" t="n">
        <v>2160</v>
      </c>
      <c r="I85" s="37">
        <f>H85*(1+'Paramètres'!$C$11)</f>
        <v/>
      </c>
      <c r="J85" s="38" t="n">
        <v>1</v>
      </c>
      <c r="K85" s="39" t="b">
        <v>0</v>
      </c>
      <c r="L85" s="40">
        <f>IF(K85=TRUE,H85*J85,0)</f>
        <v/>
      </c>
      <c r="M85" s="41">
        <f>SUM(L$14:L85)</f>
        <v/>
      </c>
    </row>
    <row r="86" ht="28" customHeight="1">
      <c r="B86" s="18" t="inlineStr">
        <is>
          <t>07.11</t>
        </is>
      </c>
      <c r="C86" s="19" t="inlineStr">
        <is>
          <t>Sous-titrage</t>
        </is>
      </c>
      <c r="D86" s="20" t="inlineStr">
        <is>
          <t>Par vidéo, 1 langue</t>
        </is>
      </c>
      <c r="E86" s="21" t="inlineStr">
        <is>
          <t>forfait</t>
        </is>
      </c>
      <c r="F86" s="22" t="n">
        <v>2</v>
      </c>
      <c r="G86" s="23">
        <f>IF(F86="","",F86/'Paramètres'!$C$10)</f>
        <v/>
      </c>
      <c r="H86" s="24" t="n">
        <v>168</v>
      </c>
      <c r="I86" s="25">
        <f>H86*(1+'Paramètres'!$C$11)</f>
        <v/>
      </c>
      <c r="J86" s="26" t="n">
        <v>1</v>
      </c>
      <c r="K86" s="27" t="b">
        <v>0</v>
      </c>
      <c r="L86" s="28">
        <f>IF(K86=TRUE,H86*J86,0)</f>
        <v/>
      </c>
      <c r="M86" s="29">
        <f>SUM(L$14:L86)</f>
        <v/>
      </c>
    </row>
    <row r="87" ht="28" customHeight="1">
      <c r="B87" s="30" t="inlineStr">
        <is>
          <t>07.12</t>
        </is>
      </c>
      <c r="C87" s="31" t="inlineStr">
        <is>
          <t>Voix off professionnelle</t>
        </is>
      </c>
      <c r="D87" s="32" t="inlineStr">
        <is>
          <t>Comédien voix, 1 langue</t>
        </is>
      </c>
      <c r="E87" s="33" t="inlineStr">
        <is>
          <t>forfait</t>
        </is>
      </c>
      <c r="F87" s="34" t="n">
        <v>1</v>
      </c>
      <c r="G87" s="35">
        <f>IF(F87="","",F87/'Paramètres'!$C$10)</f>
        <v/>
      </c>
      <c r="H87" s="36" t="n">
        <v>264</v>
      </c>
      <c r="I87" s="37">
        <f>H87*(1+'Paramètres'!$C$11)</f>
        <v/>
      </c>
      <c r="J87" s="38" t="n">
        <v>1</v>
      </c>
      <c r="K87" s="39" t="b">
        <v>0</v>
      </c>
      <c r="L87" s="40">
        <f>IF(K87=TRUE,H87*J87,0)</f>
        <v/>
      </c>
      <c r="M87" s="41">
        <f>SUM(L$14:L87)</f>
        <v/>
      </c>
    </row>
    <row r="88" ht="28" customHeight="1">
      <c r="B88" s="18" t="inlineStr">
        <is>
          <t>07.13</t>
        </is>
      </c>
      <c r="C88" s="19" t="inlineStr">
        <is>
          <t>Musique sous licence</t>
        </is>
      </c>
      <c r="D88" s="20" t="inlineStr">
        <is>
          <t>Droits d'utilisation web</t>
        </is>
      </c>
      <c r="E88" s="21" t="inlineStr">
        <is>
          <t>forfait</t>
        </is>
      </c>
      <c r="F88" s="22" t="n"/>
      <c r="G88" s="23">
        <f>IF(F88="","",F88/'Paramètres'!$C$10)</f>
        <v/>
      </c>
      <c r="H88" s="24" t="n">
        <v>60</v>
      </c>
      <c r="I88" s="25">
        <f>H88*(1+'Paramètres'!$C$11)</f>
        <v/>
      </c>
      <c r="J88" s="26" t="n">
        <v>1</v>
      </c>
      <c r="K88" s="27" t="b">
        <v>0</v>
      </c>
      <c r="L88" s="28">
        <f>IF(K88=TRUE,H88*J88,0)</f>
        <v/>
      </c>
      <c r="M88" s="29">
        <f>SUM(L$14:L88)</f>
        <v/>
      </c>
    </row>
    <row r="89" ht="8" customHeight="1"/>
    <row r="90" ht="24" customHeight="1">
      <c r="B90" s="15" t="inlineStr">
        <is>
          <t>08</t>
        </is>
      </c>
      <c r="C90" s="16" t="inlineStr">
        <is>
          <t>WEB &amp; DIGITAL</t>
        </is>
      </c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</row>
    <row r="91" ht="28" customHeight="1">
      <c r="B91" s="18" t="inlineStr">
        <is>
          <t>08.01</t>
        </is>
      </c>
      <c r="C91" s="19" t="inlineStr">
        <is>
          <t>Webdesign UI/UX — par page</t>
        </is>
      </c>
      <c r="D91" s="20" t="inlineStr">
        <is>
          <t>Maquette desktop + mobile</t>
        </is>
      </c>
      <c r="E91" s="21" t="inlineStr">
        <is>
          <t>page</t>
        </is>
      </c>
      <c r="F91" s="22" t="n">
        <v>6</v>
      </c>
      <c r="G91" s="23">
        <f>IF(F91="","",F91/'Paramètres'!$C$10)</f>
        <v/>
      </c>
      <c r="H91" s="24" t="n">
        <v>504</v>
      </c>
      <c r="I91" s="25">
        <f>H91*(1+'Paramètres'!$C$11)</f>
        <v/>
      </c>
      <c r="J91" s="26" t="n">
        <v>1</v>
      </c>
      <c r="K91" s="27" t="b">
        <v>0</v>
      </c>
      <c r="L91" s="28">
        <f>IF(K91=TRUE,H91*J91,0)</f>
        <v/>
      </c>
      <c r="M91" s="29">
        <f>SUM(L$14:L91)</f>
        <v/>
      </c>
    </row>
    <row r="92" ht="28" customHeight="1">
      <c r="B92" s="30" t="inlineStr">
        <is>
          <t>08.02</t>
        </is>
      </c>
      <c r="C92" s="31" t="inlineStr">
        <is>
          <t>Site vitrine (5–7 pages)</t>
        </is>
      </c>
      <c r="D92" s="32" t="inlineStr">
        <is>
          <t>Design + développement WordPress, responsive</t>
        </is>
      </c>
      <c r="E92" s="33" t="inlineStr">
        <is>
          <t>forfait</t>
        </is>
      </c>
      <c r="F92" s="34" t="n">
        <v>48</v>
      </c>
      <c r="G92" s="35">
        <f>IF(F92="","",F92/'Paramètres'!$C$10)</f>
        <v/>
      </c>
      <c r="H92" s="36" t="n">
        <v>4032</v>
      </c>
      <c r="I92" s="37">
        <f>H92*(1+'Paramètres'!$C$11)</f>
        <v/>
      </c>
      <c r="J92" s="38" t="n">
        <v>1</v>
      </c>
      <c r="K92" s="39" t="b">
        <v>0</v>
      </c>
      <c r="L92" s="40">
        <f>IF(K92=TRUE,H92*J92,0)</f>
        <v/>
      </c>
      <c r="M92" s="41">
        <f>SUM(L$14:L92)</f>
        <v/>
      </c>
    </row>
    <row r="93" ht="28" customHeight="1">
      <c r="B93" s="18" t="inlineStr">
        <is>
          <t>08.03</t>
        </is>
      </c>
      <c r="C93" s="19" t="inlineStr">
        <is>
          <t>Site e-commerce</t>
        </is>
      </c>
      <c r="D93" s="20" t="inlineStr">
        <is>
          <t>Boutique en ligne, paiement, jusqu'à 50 produits</t>
        </is>
      </c>
      <c r="E93" s="21" t="inlineStr">
        <is>
          <t>forfait</t>
        </is>
      </c>
      <c r="F93" s="22" t="n">
        <v>100</v>
      </c>
      <c r="G93" s="23">
        <f>IF(F93="","",F93/'Paramètres'!$C$10)</f>
        <v/>
      </c>
      <c r="H93" s="24" t="n">
        <v>8400</v>
      </c>
      <c r="I93" s="25">
        <f>H93*(1+'Paramètres'!$C$11)</f>
        <v/>
      </c>
      <c r="J93" s="26" t="n">
        <v>1</v>
      </c>
      <c r="K93" s="27" t="b">
        <v>0</v>
      </c>
      <c r="L93" s="28">
        <f>IF(K93=TRUE,H93*J93,0)</f>
        <v/>
      </c>
      <c r="M93" s="29">
        <f>SUM(L$14:L93)</f>
        <v/>
      </c>
    </row>
    <row r="94" ht="28" customHeight="1">
      <c r="B94" s="30" t="inlineStr">
        <is>
          <t>08.04</t>
        </is>
      </c>
      <c r="C94" s="31" t="inlineStr">
        <is>
          <t>Landing page</t>
        </is>
      </c>
      <c r="D94" s="32" t="inlineStr">
        <is>
          <t>Page promotionnelle / campagne</t>
        </is>
      </c>
      <c r="E94" s="33" t="inlineStr">
        <is>
          <t>forfait</t>
        </is>
      </c>
      <c r="F94" s="34" t="n">
        <v>12</v>
      </c>
      <c r="G94" s="35">
        <f>IF(F94="","",F94/'Paramètres'!$C$10)</f>
        <v/>
      </c>
      <c r="H94" s="36" t="n">
        <v>1008</v>
      </c>
      <c r="I94" s="37">
        <f>H94*(1+'Paramètres'!$C$11)</f>
        <v/>
      </c>
      <c r="J94" s="38" t="n">
        <v>1</v>
      </c>
      <c r="K94" s="39" t="b">
        <v>0</v>
      </c>
      <c r="L94" s="40">
        <f>IF(K94=TRUE,H94*J94,0)</f>
        <v/>
      </c>
      <c r="M94" s="41">
        <f>SUM(L$14:L94)</f>
        <v/>
      </c>
    </row>
    <row r="95" ht="28" customHeight="1">
      <c r="B95" s="18" t="inlineStr">
        <is>
          <t>08.05</t>
        </is>
      </c>
      <c r="C95" s="19" t="inlineStr">
        <is>
          <t>Rédaction web — par page</t>
        </is>
      </c>
      <c r="D95" s="20" t="inlineStr">
        <is>
          <t>Textes optimisés SEO</t>
        </is>
      </c>
      <c r="E95" s="21" t="inlineStr">
        <is>
          <t>page</t>
        </is>
      </c>
      <c r="F95" s="22" t="n">
        <v>2</v>
      </c>
      <c r="G95" s="23">
        <f>IF(F95="","",F95/'Paramètres'!$C$10)</f>
        <v/>
      </c>
      <c r="H95" s="24" t="n">
        <v>132</v>
      </c>
      <c r="I95" s="25">
        <f>H95*(1+'Paramètres'!$C$11)</f>
        <v/>
      </c>
      <c r="J95" s="26" t="n">
        <v>1</v>
      </c>
      <c r="K95" s="27" t="b">
        <v>0</v>
      </c>
      <c r="L95" s="28">
        <f>IF(K95=TRUE,H95*J95,0)</f>
        <v/>
      </c>
      <c r="M95" s="29">
        <f>SUM(L$14:L95)</f>
        <v/>
      </c>
    </row>
    <row r="96" ht="28" customHeight="1">
      <c r="B96" s="30" t="inlineStr">
        <is>
          <t>08.06</t>
        </is>
      </c>
      <c r="C96" s="31" t="inlineStr">
        <is>
          <t>Audit &amp; optimisation SEO</t>
        </is>
      </c>
      <c r="D96" s="32" t="inlineStr">
        <is>
          <t>Analyse technique + recommandations</t>
        </is>
      </c>
      <c r="E96" s="33" t="inlineStr">
        <is>
          <t>forfait</t>
        </is>
      </c>
      <c r="F96" s="34" t="n">
        <v>10</v>
      </c>
      <c r="G96" s="35">
        <f>IF(F96="","",F96/'Paramètres'!$C$10)</f>
        <v/>
      </c>
      <c r="H96" s="36" t="n">
        <v>840</v>
      </c>
      <c r="I96" s="37">
        <f>H96*(1+'Paramètres'!$C$11)</f>
        <v/>
      </c>
      <c r="J96" s="38" t="n">
        <v>1</v>
      </c>
      <c r="K96" s="39" t="b">
        <v>0</v>
      </c>
      <c r="L96" s="40">
        <f>IF(K96=TRUE,H96*J96,0)</f>
        <v/>
      </c>
      <c r="M96" s="41">
        <f>SUM(L$14:L96)</f>
        <v/>
      </c>
    </row>
    <row r="97" ht="28" customHeight="1">
      <c r="B97" s="18" t="inlineStr">
        <is>
          <t>08.07</t>
        </is>
      </c>
      <c r="C97" s="19" t="inlineStr">
        <is>
          <t>Template newsletter</t>
        </is>
      </c>
      <c r="D97" s="20" t="inlineStr">
        <is>
          <t>Modèle e-mailing responsive</t>
        </is>
      </c>
      <c r="E97" s="21" t="inlineStr">
        <is>
          <t>forfait</t>
        </is>
      </c>
      <c r="F97" s="22" t="n">
        <v>6</v>
      </c>
      <c r="G97" s="23">
        <f>IF(F97="","",F97/'Paramètres'!$C$10)</f>
        <v/>
      </c>
      <c r="H97" s="24" t="n">
        <v>504</v>
      </c>
      <c r="I97" s="25">
        <f>H97*(1+'Paramètres'!$C$11)</f>
        <v/>
      </c>
      <c r="J97" s="26" t="n">
        <v>1</v>
      </c>
      <c r="K97" s="27" t="b">
        <v>0</v>
      </c>
      <c r="L97" s="28">
        <f>IF(K97=TRUE,H97*J97,0)</f>
        <v/>
      </c>
      <c r="M97" s="29">
        <f>SUM(L$14:L97)</f>
        <v/>
      </c>
    </row>
    <row r="98" ht="28" customHeight="1">
      <c r="B98" s="30" t="inlineStr">
        <is>
          <t>08.08</t>
        </is>
      </c>
      <c r="C98" s="31" t="inlineStr">
        <is>
          <t>Formation back-office</t>
        </is>
      </c>
      <c r="D98" s="32" t="inlineStr">
        <is>
          <t>Prise en main du site (2 h)</t>
        </is>
      </c>
      <c r="E98" s="33" t="inlineStr">
        <is>
          <t>forfait</t>
        </is>
      </c>
      <c r="F98" s="34" t="n">
        <v>2</v>
      </c>
      <c r="G98" s="35">
        <f>IF(F98="","",F98/'Paramètres'!$C$10)</f>
        <v/>
      </c>
      <c r="H98" s="36" t="n">
        <v>168</v>
      </c>
      <c r="I98" s="37">
        <f>H98*(1+'Paramètres'!$C$11)</f>
        <v/>
      </c>
      <c r="J98" s="38" t="n">
        <v>1</v>
      </c>
      <c r="K98" s="39" t="b">
        <v>0</v>
      </c>
      <c r="L98" s="40">
        <f>IF(K98=TRUE,H98*J98,0)</f>
        <v/>
      </c>
      <c r="M98" s="41">
        <f>SUM(L$14:L98)</f>
        <v/>
      </c>
    </row>
    <row r="99" ht="28" customHeight="1">
      <c r="B99" s="18" t="inlineStr">
        <is>
          <t>08.09</t>
        </is>
      </c>
      <c r="C99" s="19" t="inlineStr">
        <is>
          <t>Maintenance &amp; mises à jour</t>
        </is>
      </c>
      <c r="D99" s="20" t="inlineStr">
        <is>
          <t>Sécurité, sauvegardes, petites modifications</t>
        </is>
      </c>
      <c r="E99" s="21" t="inlineStr">
        <is>
          <t>mois</t>
        </is>
      </c>
      <c r="F99" s="22" t="n">
        <v>2</v>
      </c>
      <c r="G99" s="23">
        <f>IF(F99="","",F99/'Paramètres'!$C$10)</f>
        <v/>
      </c>
      <c r="H99" s="24" t="n">
        <v>168</v>
      </c>
      <c r="I99" s="25">
        <f>H99*(1+'Paramètres'!$C$11)</f>
        <v/>
      </c>
      <c r="J99" s="26" t="n">
        <v>1</v>
      </c>
      <c r="K99" s="27" t="b">
        <v>0</v>
      </c>
      <c r="L99" s="28">
        <f>IF(K99=TRUE,H99*J99,0)</f>
        <v/>
      </c>
      <c r="M99" s="29">
        <f>SUM(L$14:L99)</f>
        <v/>
      </c>
    </row>
    <row r="100" ht="28" customHeight="1">
      <c r="B100" s="30" t="inlineStr">
        <is>
          <t>08.10</t>
        </is>
      </c>
      <c r="C100" s="31" t="inlineStr">
        <is>
          <t>Hébergement web</t>
        </is>
      </c>
      <c r="D100" s="32" t="inlineStr">
        <is>
          <t>Hébergement + certificat SSL</t>
        </is>
      </c>
      <c r="E100" s="33" t="inlineStr">
        <is>
          <t>an</t>
        </is>
      </c>
      <c r="F100" s="34" t="n"/>
      <c r="G100" s="35">
        <f>IF(F100="","",F100/'Paramètres'!$C$10)</f>
        <v/>
      </c>
      <c r="H100" s="36" t="n">
        <v>216</v>
      </c>
      <c r="I100" s="37">
        <f>H100*(1+'Paramètres'!$C$11)</f>
        <v/>
      </c>
      <c r="J100" s="38" t="n">
        <v>1</v>
      </c>
      <c r="K100" s="39" t="b">
        <v>0</v>
      </c>
      <c r="L100" s="40">
        <f>IF(K100=TRUE,H100*J100,0)</f>
        <v/>
      </c>
      <c r="M100" s="41">
        <f>SUM(L$14:L100)</f>
        <v/>
      </c>
    </row>
    <row r="101" ht="28" customHeight="1">
      <c r="B101" s="18" t="inlineStr">
        <is>
          <t>08.11</t>
        </is>
      </c>
      <c r="C101" s="19" t="inlineStr">
        <is>
          <t>Nom de domaine</t>
        </is>
      </c>
      <c r="D101" s="20" t="inlineStr">
        <is>
          <t>Enregistrement / renouvellement</t>
        </is>
      </c>
      <c r="E101" s="21" t="inlineStr">
        <is>
          <t>an</t>
        </is>
      </c>
      <c r="F101" s="22" t="n"/>
      <c r="G101" s="23">
        <f>IF(F101="","",F101/'Paramètres'!$C$10)</f>
        <v/>
      </c>
      <c r="H101" s="24" t="n">
        <v>30</v>
      </c>
      <c r="I101" s="25">
        <f>H101*(1+'Paramètres'!$C$11)</f>
        <v/>
      </c>
      <c r="J101" s="26" t="n">
        <v>1</v>
      </c>
      <c r="K101" s="27" t="b">
        <v>0</v>
      </c>
      <c r="L101" s="28">
        <f>IF(K101=TRUE,H101*J101,0)</f>
        <v/>
      </c>
      <c r="M101" s="29">
        <f>SUM(L$14:L101)</f>
        <v/>
      </c>
    </row>
    <row r="102" ht="8" customHeight="1"/>
    <row r="103" ht="24" customHeight="1">
      <c r="B103" s="15" t="inlineStr">
        <is>
          <t>09</t>
        </is>
      </c>
      <c r="C103" s="16" t="inlineStr">
        <is>
          <t>RÉSEAUX SOCIAUX &amp; CONTENU</t>
        </is>
      </c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</row>
    <row r="104" ht="28" customHeight="1">
      <c r="B104" s="18" t="inlineStr">
        <is>
          <t>09.01</t>
        </is>
      </c>
      <c r="C104" s="19" t="inlineStr">
        <is>
          <t>Stratégie social media</t>
        </is>
      </c>
      <c r="D104" s="20" t="inlineStr">
        <is>
          <t>Audit, ligne éditoriale, calendrier</t>
        </is>
      </c>
      <c r="E104" s="21" t="inlineStr">
        <is>
          <t>forfait</t>
        </is>
      </c>
      <c r="F104" s="22" t="n">
        <v>12</v>
      </c>
      <c r="G104" s="23">
        <f>IF(F104="","",F104/'Paramètres'!$C$10)</f>
        <v/>
      </c>
      <c r="H104" s="24" t="n">
        <v>792</v>
      </c>
      <c r="I104" s="25">
        <f>H104*(1+'Paramètres'!$C$11)</f>
        <v/>
      </c>
      <c r="J104" s="26" t="n">
        <v>1</v>
      </c>
      <c r="K104" s="27" t="b">
        <v>0</v>
      </c>
      <c r="L104" s="28">
        <f>IF(K104=TRUE,H104*J104,0)</f>
        <v/>
      </c>
      <c r="M104" s="29">
        <f>SUM(L$14:L104)</f>
        <v/>
      </c>
    </row>
    <row r="105" ht="28" customHeight="1">
      <c r="B105" s="30" t="inlineStr">
        <is>
          <t>09.02</t>
        </is>
      </c>
      <c r="C105" s="31" t="inlineStr">
        <is>
          <t>Création / optimisation des comptes</t>
        </is>
      </c>
      <c r="D105" s="32" t="inlineStr">
        <is>
          <t>Facebook, Instagram, LinkedIn</t>
        </is>
      </c>
      <c r="E105" s="33" t="inlineStr">
        <is>
          <t>forfait</t>
        </is>
      </c>
      <c r="F105" s="34" t="n">
        <v>4</v>
      </c>
      <c r="G105" s="35">
        <f>IF(F105="","",F105/'Paramètres'!$C$10)</f>
        <v/>
      </c>
      <c r="H105" s="36" t="n">
        <v>264</v>
      </c>
      <c r="I105" s="37">
        <f>H105*(1+'Paramètres'!$C$11)</f>
        <v/>
      </c>
      <c r="J105" s="38" t="n">
        <v>1</v>
      </c>
      <c r="K105" s="39" t="b">
        <v>0</v>
      </c>
      <c r="L105" s="40">
        <f>IF(K105=TRUE,H105*J105,0)</f>
        <v/>
      </c>
      <c r="M105" s="41">
        <f>SUM(L$14:L105)</f>
        <v/>
      </c>
    </row>
    <row r="106" ht="28" customHeight="1">
      <c r="B106" s="18" t="inlineStr">
        <is>
          <t>09.03</t>
        </is>
      </c>
      <c r="C106" s="19" t="inlineStr">
        <is>
          <t>Gestion réseaux sociaux</t>
        </is>
      </c>
      <c r="D106" s="20" t="inlineStr">
        <is>
          <t>8 publications / mois + modération</t>
        </is>
      </c>
      <c r="E106" s="21" t="inlineStr">
        <is>
          <t>mois</t>
        </is>
      </c>
      <c r="F106" s="22" t="n">
        <v>16</v>
      </c>
      <c r="G106" s="23">
        <f>IF(F106="","",F106/'Paramètres'!$C$10)</f>
        <v/>
      </c>
      <c r="H106" s="24" t="n">
        <v>1056</v>
      </c>
      <c r="I106" s="25">
        <f>H106*(1+'Paramètres'!$C$11)</f>
        <v/>
      </c>
      <c r="J106" s="26" t="n">
        <v>1</v>
      </c>
      <c r="K106" s="27" t="b">
        <v>0</v>
      </c>
      <c r="L106" s="28">
        <f>IF(K106=TRUE,H106*J106,0)</f>
        <v/>
      </c>
      <c r="M106" s="29">
        <f>SUM(L$14:L106)</f>
        <v/>
      </c>
    </row>
    <row r="107" ht="28" customHeight="1">
      <c r="B107" s="30" t="inlineStr">
        <is>
          <t>09.04</t>
        </is>
      </c>
      <c r="C107" s="31" t="inlineStr">
        <is>
          <t>Pack 10 visuels réseaux sociaux</t>
        </is>
      </c>
      <c r="D107" s="32" t="inlineStr">
        <is>
          <t>Templates aux couleurs de la marque</t>
        </is>
      </c>
      <c r="E107" s="33" t="inlineStr">
        <is>
          <t>forfait</t>
        </is>
      </c>
      <c r="F107" s="34" t="n">
        <v>6</v>
      </c>
      <c r="G107" s="35">
        <f>IF(F107="","",F107/'Paramètres'!$C$10)</f>
        <v/>
      </c>
      <c r="H107" s="36" t="n">
        <v>468</v>
      </c>
      <c r="I107" s="37">
        <f>H107*(1+'Paramètres'!$C$11)</f>
        <v/>
      </c>
      <c r="J107" s="38" t="n">
        <v>1</v>
      </c>
      <c r="K107" s="39" t="b">
        <v>0</v>
      </c>
      <c r="L107" s="40">
        <f>IF(K107=TRUE,H107*J107,0)</f>
        <v/>
      </c>
      <c r="M107" s="41">
        <f>SUM(L$14:L107)</f>
        <v/>
      </c>
    </row>
    <row r="108" ht="28" customHeight="1">
      <c r="B108" s="18" t="inlineStr">
        <is>
          <t>09.05</t>
        </is>
      </c>
      <c r="C108" s="19" t="inlineStr">
        <is>
          <t>Campagne publicitaire — mise en place</t>
        </is>
      </c>
      <c r="D108" s="20" t="inlineStr">
        <is>
          <t>Meta / Google Ads, ciblage, visuels</t>
        </is>
      </c>
      <c r="E108" s="21" t="inlineStr">
        <is>
          <t>forfait</t>
        </is>
      </c>
      <c r="F108" s="22" t="n">
        <v>6</v>
      </c>
      <c r="G108" s="23">
        <f>IF(F108="","",F108/'Paramètres'!$C$10)</f>
        <v/>
      </c>
      <c r="H108" s="24" t="n">
        <v>396</v>
      </c>
      <c r="I108" s="25">
        <f>H108*(1+'Paramètres'!$C$11)</f>
        <v/>
      </c>
      <c r="J108" s="26" t="n">
        <v>1</v>
      </c>
      <c r="K108" s="27" t="b">
        <v>0</v>
      </c>
      <c r="L108" s="28">
        <f>IF(K108=TRUE,H108*J108,0)</f>
        <v/>
      </c>
      <c r="M108" s="29">
        <f>SUM(L$14:L108)</f>
        <v/>
      </c>
    </row>
    <row r="109" ht="28" customHeight="1">
      <c r="B109" s="30" t="inlineStr">
        <is>
          <t>09.06</t>
        </is>
      </c>
      <c r="C109" s="31" t="inlineStr">
        <is>
          <t>Campagne publicitaire — gestion</t>
        </is>
      </c>
      <c r="D109" s="32" t="inlineStr">
        <is>
          <t>Suivi et optimisation (hors budget média)</t>
        </is>
      </c>
      <c r="E109" s="33" t="inlineStr">
        <is>
          <t>mois</t>
        </is>
      </c>
      <c r="F109" s="34" t="n">
        <v>4</v>
      </c>
      <c r="G109" s="35">
        <f>IF(F109="","",F109/'Paramètres'!$C$10)</f>
        <v/>
      </c>
      <c r="H109" s="36" t="n">
        <v>264</v>
      </c>
      <c r="I109" s="37">
        <f>H109*(1+'Paramètres'!$C$11)</f>
        <v/>
      </c>
      <c r="J109" s="38" t="n">
        <v>1</v>
      </c>
      <c r="K109" s="39" t="b">
        <v>0</v>
      </c>
      <c r="L109" s="40">
        <f>IF(K109=TRUE,H109*J109,0)</f>
        <v/>
      </c>
      <c r="M109" s="41">
        <f>SUM(L$14:L109)</f>
        <v/>
      </c>
    </row>
    <row r="110" ht="28" customHeight="1">
      <c r="B110" s="18" t="inlineStr">
        <is>
          <t>09.07</t>
        </is>
      </c>
      <c r="C110" s="19" t="inlineStr">
        <is>
          <t>Newsletter / e-mailing</t>
        </is>
      </c>
      <c r="D110" s="20" t="inlineStr">
        <is>
          <t>Rédaction + mise en page + envoi</t>
        </is>
      </c>
      <c r="E110" s="21" t="inlineStr">
        <is>
          <t>forfait</t>
        </is>
      </c>
      <c r="F110" s="22" t="n">
        <v>4</v>
      </c>
      <c r="G110" s="23">
        <f>IF(F110="","",F110/'Paramètres'!$C$10)</f>
        <v/>
      </c>
      <c r="H110" s="24" t="n">
        <v>264</v>
      </c>
      <c r="I110" s="25">
        <f>H110*(1+'Paramètres'!$C$11)</f>
        <v/>
      </c>
      <c r="J110" s="26" t="n">
        <v>1</v>
      </c>
      <c r="K110" s="27" t="b">
        <v>0</v>
      </c>
      <c r="L110" s="28">
        <f>IF(K110=TRUE,H110*J110,0)</f>
        <v/>
      </c>
      <c r="M110" s="29">
        <f>SUM(L$14:L110)</f>
        <v/>
      </c>
    </row>
    <row r="111" ht="28" customHeight="1">
      <c r="B111" s="30" t="inlineStr">
        <is>
          <t>09.08</t>
        </is>
      </c>
      <c r="C111" s="31" t="inlineStr">
        <is>
          <t>Article de blog</t>
        </is>
      </c>
      <c r="D111" s="32" t="inlineStr">
        <is>
          <t>800 à 1 000 mots, optimisé SEO</t>
        </is>
      </c>
      <c r="E111" s="33" t="inlineStr">
        <is>
          <t>forfait</t>
        </is>
      </c>
      <c r="F111" s="34" t="n">
        <v>3</v>
      </c>
      <c r="G111" s="35">
        <f>IF(F111="","",F111/'Paramètres'!$C$10)</f>
        <v/>
      </c>
      <c r="H111" s="36" t="n">
        <v>198</v>
      </c>
      <c r="I111" s="37">
        <f>H111*(1+'Paramètres'!$C$11)</f>
        <v/>
      </c>
      <c r="J111" s="38" t="n">
        <v>1</v>
      </c>
      <c r="K111" s="39" t="b">
        <v>0</v>
      </c>
      <c r="L111" s="40">
        <f>IF(K111=TRUE,H111*J111,0)</f>
        <v/>
      </c>
      <c r="M111" s="41">
        <f>SUM(L$14:L111)</f>
        <v/>
      </c>
    </row>
    <row r="112" ht="28" customHeight="1">
      <c r="B112" s="18" t="inlineStr">
        <is>
          <t>09.09</t>
        </is>
      </c>
      <c r="C112" s="19" t="inlineStr">
        <is>
          <t>Communiqué de presse</t>
        </is>
      </c>
      <c r="D112" s="20" t="inlineStr">
        <is>
          <t>Rédaction + liste de diffusion</t>
        </is>
      </c>
      <c r="E112" s="21" t="inlineStr">
        <is>
          <t>forfait</t>
        </is>
      </c>
      <c r="F112" s="22" t="n">
        <v>4</v>
      </c>
      <c r="G112" s="23">
        <f>IF(F112="","",F112/'Paramètres'!$C$10)</f>
        <v/>
      </c>
      <c r="H112" s="24" t="n">
        <v>264</v>
      </c>
      <c r="I112" s="25">
        <f>H112*(1+'Paramètres'!$C$11)</f>
        <v/>
      </c>
      <c r="J112" s="26" t="n">
        <v>1</v>
      </c>
      <c r="K112" s="27" t="b">
        <v>0</v>
      </c>
      <c r="L112" s="28">
        <f>IF(K112=TRUE,H112*J112,0)</f>
        <v/>
      </c>
      <c r="M112" s="29">
        <f>SUM(L$14:L112)</f>
        <v/>
      </c>
    </row>
    <row r="113" ht="28" customHeight="1">
      <c r="B113" s="30" t="inlineStr">
        <is>
          <t>09.10</t>
        </is>
      </c>
      <c r="C113" s="31" t="inlineStr">
        <is>
          <t>Rapport de performance</t>
        </is>
      </c>
      <c r="D113" s="32" t="inlineStr">
        <is>
          <t>Statistiques mensuelles commentées</t>
        </is>
      </c>
      <c r="E113" s="33" t="inlineStr">
        <is>
          <t>mois</t>
        </is>
      </c>
      <c r="F113" s="34" t="n">
        <v>2</v>
      </c>
      <c r="G113" s="35">
        <f>IF(F113="","",F113/'Paramètres'!$C$10)</f>
        <v/>
      </c>
      <c r="H113" s="36" t="n">
        <v>132</v>
      </c>
      <c r="I113" s="37">
        <f>H113*(1+'Paramètres'!$C$11)</f>
        <v/>
      </c>
      <c r="J113" s="38" t="n">
        <v>1</v>
      </c>
      <c r="K113" s="39" t="b">
        <v>0</v>
      </c>
      <c r="L113" s="40">
        <f>IF(K113=TRUE,H113*J113,0)</f>
        <v/>
      </c>
      <c r="M113" s="41">
        <f>SUM(L$14:L113)</f>
        <v/>
      </c>
    </row>
    <row r="114" ht="8" customHeight="1"/>
    <row r="115" ht="24" customHeight="1">
      <c r="B115" s="15" t="inlineStr">
        <is>
          <t>10</t>
        </is>
      </c>
      <c r="C115" s="16" t="inlineStr">
        <is>
          <t>PRODUCTION &amp; IMPRESSION</t>
        </is>
      </c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</row>
    <row r="116" ht="28" customHeight="1">
      <c r="B116" s="18" t="inlineStr">
        <is>
          <t>10.01</t>
        </is>
      </c>
      <c r="C116" s="19" t="inlineStr">
        <is>
          <t>Suivi de fabrication</t>
        </is>
      </c>
      <c r="D116" s="20" t="inlineStr">
        <is>
          <t>Demande de devis imprimeurs, BAT, contrôle</t>
        </is>
      </c>
      <c r="E116" s="21" t="inlineStr">
        <is>
          <t>heure</t>
        </is>
      </c>
      <c r="F116" s="22" t="n">
        <v>1</v>
      </c>
      <c r="G116" s="23">
        <f>IF(F116="","",F116/'Paramètres'!$C$10)</f>
        <v/>
      </c>
      <c r="H116" s="24" t="n">
        <v>84</v>
      </c>
      <c r="I116" s="25">
        <f>H116*(1+'Paramètres'!$C$11)</f>
        <v/>
      </c>
      <c r="J116" s="26" t="n">
        <v>1</v>
      </c>
      <c r="K116" s="27" t="b">
        <v>0</v>
      </c>
      <c r="L116" s="28">
        <f>IF(K116=TRUE,H116*J116,0)</f>
        <v/>
      </c>
      <c r="M116" s="29">
        <f>SUM(L$14:L116)</f>
        <v/>
      </c>
    </row>
    <row r="117" ht="28" customHeight="1">
      <c r="B117" s="30" t="inlineStr">
        <is>
          <t>10.02</t>
        </is>
      </c>
      <c r="C117" s="31" t="inlineStr">
        <is>
          <t>Impression</t>
        </is>
      </c>
      <c r="D117" s="32" t="inlineStr">
        <is>
          <t>Tarif selon quantités, formats et supports</t>
        </is>
      </c>
      <c r="E117" s="33" t="inlineStr">
        <is>
          <t>sur devis</t>
        </is>
      </c>
      <c r="F117" s="34" t="n"/>
      <c r="G117" s="35">
        <f>IF(F117="","",F117/'Paramètres'!$C$10)</f>
        <v/>
      </c>
      <c r="H117" s="36" t="n">
        <v>0</v>
      </c>
      <c r="I117" s="37">
        <f>H117*(1+'Paramètres'!$C$11)</f>
        <v/>
      </c>
      <c r="J117" s="38" t="n">
        <v>1</v>
      </c>
      <c r="K117" s="39" t="b">
        <v>0</v>
      </c>
      <c r="L117" s="40">
        <f>IF(K117=TRUE,H117*J117,0)</f>
        <v/>
      </c>
      <c r="M117" s="41">
        <f>SUM(L$14:L117)</f>
        <v/>
      </c>
    </row>
    <row r="119" ht="26" customHeight="1">
      <c r="I119" s="42" t="inlineStr">
        <is>
          <t>TOTAL ENGAGÉ HT</t>
        </is>
      </c>
      <c r="J119" s="4" t="n"/>
      <c r="K119" s="4" t="n"/>
      <c r="L119" s="4" t="n"/>
      <c r="M119" s="43">
        <f>SUM(L14:L117)</f>
        <v/>
      </c>
    </row>
    <row r="120" ht="20" customHeight="1">
      <c r="I120" s="44" t="inlineStr">
        <is>
          <t>TVA</t>
        </is>
      </c>
      <c r="J120" s="45" t="n"/>
      <c r="K120" s="45" t="n"/>
      <c r="L120" s="45" t="n"/>
      <c r="M120" s="28">
        <f>M119*'Paramètres'!$C$11</f>
        <v/>
      </c>
    </row>
    <row r="121" ht="26" customHeight="1">
      <c r="I121" s="42" t="inlineStr">
        <is>
          <t>TOTAL ENGAGÉ TTC</t>
        </is>
      </c>
      <c r="J121" s="4" t="n"/>
      <c r="K121" s="4" t="n"/>
      <c r="L121" s="4" t="n"/>
      <c r="M121" s="43">
        <f>M119+M120</f>
        <v/>
      </c>
    </row>
    <row r="122" ht="20" customHeight="1">
      <c r="I122" s="44" t="inlineStr">
        <is>
          <t>Prestations validées</t>
        </is>
      </c>
      <c r="J122" s="45" t="n"/>
      <c r="K122" s="45" t="n"/>
      <c r="L122" s="45" t="n"/>
      <c r="M122" s="46">
        <f>COUNTIF(K14:K117,TRUE)</f>
        <v/>
      </c>
    </row>
    <row r="123" ht="20" customHeight="1">
      <c r="I123" s="44" t="inlineStr">
        <is>
          <t>Temps engagé (heures)</t>
        </is>
      </c>
      <c r="J123" s="45" t="n"/>
      <c r="K123" s="45" t="n"/>
      <c r="L123" s="45" t="n"/>
      <c r="M123" s="47">
        <f>SUMPRODUCT((K14:K117=TRUE)*F14:F117*J14:J117)</f>
        <v/>
      </c>
    </row>
    <row r="124" ht="20" customHeight="1">
      <c r="I124" s="44" t="inlineStr">
        <is>
          <t>Temps engagé (j/h)</t>
        </is>
      </c>
      <c r="J124" s="45" t="n"/>
      <c r="K124" s="45" t="n"/>
      <c r="L124" s="45" t="n"/>
      <c r="M124" s="48">
        <f>M123/'Paramètres'!$C$10</f>
        <v/>
      </c>
    </row>
    <row r="127">
      <c r="B127" s="49" t="inlineStr">
        <is>
          <t>CONDITIONS</t>
        </is>
      </c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</row>
    <row r="128" ht="22" customHeight="1">
      <c r="B128" s="51" t="inlineStr">
        <is>
          <t>•</t>
        </is>
      </c>
      <c r="C128" s="52" t="inlineStr">
        <is>
          <t>Prix exprimés en euros hors taxes. Chaque projet fait l'objet d'un devis détaillé ; les durées (heures, j/h) sont indicatives.</t>
        </is>
      </c>
    </row>
    <row r="129" ht="22" customHeight="1">
      <c r="B129" s="51" t="inlineStr">
        <is>
          <t>•</t>
        </is>
      </c>
      <c r="C129" s="52" t="inlineStr">
        <is>
          <t>Sauf mention contraire, les créations comprennent 2 allers-retours de corrections. Toute modification supplémentaire est facturée à l'heure.</t>
        </is>
      </c>
    </row>
    <row r="130" ht="22" customHeight="1">
      <c r="B130" s="51" t="inlineStr">
        <is>
          <t>•</t>
        </is>
      </c>
      <c r="C130" s="52" t="inlineStr">
        <is>
          <t>Non inclus : frais d'impression, budget média publicitaire, achat de photos ou de polices sous licence, frais de déplacement longue distance.</t>
        </is>
      </c>
    </row>
    <row r="131" ht="22" customHeight="1">
      <c r="B131" s="51" t="inlineStr">
        <is>
          <t>•</t>
        </is>
      </c>
      <c r="C131" s="52" t="inlineStr">
        <is>
          <t>Acompte de 30 % à la commande, solde à la livraison. Paiement à 30 jours date de facture.</t>
        </is>
      </c>
    </row>
    <row r="132" ht="22" customHeight="1">
      <c r="B132" s="51" t="inlineStr">
        <is>
          <t>•</t>
        </is>
      </c>
      <c r="C132" s="52" t="inlineStr">
        <is>
          <t>Les droits d'utilisation des créations sont cédés au client après paiement intégral.</t>
        </is>
      </c>
    </row>
    <row r="134">
      <c r="B134" s="53">
        <f>'Paramètres'!C5&amp;"  ·  "&amp;'Paramètres'!C6</f>
        <v/>
      </c>
    </row>
  </sheetData>
  <mergeCells count="15">
    <mergeCell ref="C128:M128"/>
    <mergeCell ref="B2:M2"/>
    <mergeCell ref="C129:M129"/>
    <mergeCell ref="I123:L123"/>
    <mergeCell ref="I122:L122"/>
    <mergeCell ref="B3:M3"/>
    <mergeCell ref="C132:M132"/>
    <mergeCell ref="B134:M134"/>
    <mergeCell ref="C130:M130"/>
    <mergeCell ref="I121:L121"/>
    <mergeCell ref="I124:L124"/>
    <mergeCell ref="C131:M131"/>
    <mergeCell ref="B4:M4"/>
    <mergeCell ref="I120:L120"/>
    <mergeCell ref="I119:L119"/>
  </mergeCells>
  <dataValidations count="1">
    <dataValidation sqref="K14:K11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8" customWidth="1" min="3" max="3"/>
  </cols>
  <sheetData>
    <row r="2">
      <c r="B2" s="54" t="inlineStr">
        <is>
          <t>PARAMÈTRES</t>
        </is>
      </c>
    </row>
    <row r="3">
      <c r="B3" s="55" t="inlineStr">
        <is>
          <t>Cellules en bleu sur fond jaune = modifiables. La price list se met à jour automatiquement.</t>
        </is>
      </c>
    </row>
    <row r="5">
      <c r="B5" s="56" t="inlineStr">
        <is>
          <t>Agence</t>
        </is>
      </c>
      <c r="C5" s="57" t="inlineStr">
        <is>
          <t>FABRIZIO VERRECCHIA — ABYSSE.LAB (18H22)</t>
        </is>
      </c>
    </row>
    <row r="6">
      <c r="B6" s="56" t="inlineStr">
        <is>
          <t>Contact</t>
        </is>
      </c>
      <c r="C6" s="57" t="inlineStr">
        <is>
          <t>fab@18h22.com  ·  SIRET 893 142 356 00037</t>
        </is>
      </c>
    </row>
    <row r="7">
      <c r="B7" s="56" t="inlineStr">
        <is>
          <t>Client</t>
        </is>
      </c>
      <c r="C7" s="57" t="inlineStr">
        <is>
          <t>Démarches SRL — concessionnaire Helicave</t>
        </is>
      </c>
    </row>
    <row r="8">
      <c r="B8" s="56" t="inlineStr">
        <is>
          <t>Date</t>
        </is>
      </c>
      <c r="C8" s="58" t="n">
        <v>46288</v>
      </c>
    </row>
    <row r="9">
      <c r="B9" s="56" t="inlineStr">
        <is>
          <t>Validité de l'offre (jours)</t>
        </is>
      </c>
      <c r="C9" s="59" t="n">
        <v>90</v>
      </c>
    </row>
    <row r="10">
      <c r="B10" s="56" t="inlineStr">
        <is>
          <t>Heures par jour (1 j/h)</t>
        </is>
      </c>
      <c r="C10" s="59" t="n">
        <v>8</v>
      </c>
    </row>
    <row r="11">
      <c r="B11" s="56" t="inlineStr">
        <is>
          <t>TVA</t>
        </is>
      </c>
      <c r="C11" s="60" t="n">
        <v>0.2</v>
      </c>
      <c r="D11" s="11" t="inlineStr">
        <is>
          <t>TVA française 20 %. Client belge assujetti : mettre 0 % (autoliquidation, art. 283-2 CGI).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2026-09-23T22:01:41Z</dcterms:created>
  <dcterms:modified xsi:type="dcterms:W3CDTF">2026-09-23T22:01:41Z</dcterms:modified>
</cp:coreProperties>
</file>